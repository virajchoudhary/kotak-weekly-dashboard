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R:\Working\Shivani\MIS\Year 2026-27\WEEKLY\BD REPORT\May-26\"/>
    </mc:Choice>
  </mc:AlternateContent>
  <xr:revisionPtr revIDLastSave="0" documentId="13_ncr:1_{B1ED7647-E1E7-4F57-A84F-87607B9ED24A}" xr6:coauthVersionLast="47" xr6:coauthVersionMax="47" xr10:uidLastSave="{00000000-0000-0000-0000-000000000000}"/>
  <bookViews>
    <workbookView xWindow="-110" yWindow="-110" windowWidth="19420" windowHeight="10300" tabRatio="528" xr2:uid="{00000000-000D-0000-FFFF-FFFF00000000}"/>
  </bookViews>
  <sheets>
    <sheet name="Summary" sheetId="1" r:id="rId1"/>
    <sheet name="Sheet3" sheetId="5" r:id="rId2"/>
    <sheet name="Sheet2" sheetId="4" state="hidden" r:id="rId3"/>
    <sheet name="Sheet1" sheetId="3" state="hidden" r:id="rId4"/>
    <sheet name="Scheme Wise" sheetId="2" state="hidden" r:id="rId5"/>
  </sheets>
  <definedNames>
    <definedName name="_xlnm._FilterDatabase" localSheetId="4" hidden="1">'Scheme Wise'!$A$1:$I$128</definedName>
    <definedName name="_xlnm._FilterDatabase" localSheetId="0" hidden="1">Summary!$A$5:$AD$81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" i="1" l="1"/>
  <c r="AA29" i="1"/>
  <c r="T7" i="1" l="1"/>
  <c r="K78" i="1" l="1"/>
  <c r="H78" i="1"/>
  <c r="E78" i="1"/>
  <c r="K77" i="1"/>
  <c r="H77" i="1"/>
  <c r="E77" i="1"/>
  <c r="K76" i="1"/>
  <c r="H76" i="1"/>
  <c r="E76" i="1"/>
  <c r="K74" i="1"/>
  <c r="H74" i="1"/>
  <c r="E74" i="1"/>
  <c r="K73" i="1"/>
  <c r="H73" i="1"/>
  <c r="E73" i="1"/>
  <c r="K72" i="1"/>
  <c r="H72" i="1"/>
  <c r="E72" i="1"/>
  <c r="K71" i="1"/>
  <c r="H71" i="1"/>
  <c r="E71" i="1"/>
  <c r="K69" i="1"/>
  <c r="H69" i="1"/>
  <c r="E69" i="1"/>
  <c r="K67" i="1"/>
  <c r="H67" i="1"/>
  <c r="E67" i="1"/>
  <c r="K65" i="1"/>
  <c r="H65" i="1"/>
  <c r="E65" i="1"/>
  <c r="K64" i="1"/>
  <c r="H64" i="1"/>
  <c r="E64" i="1"/>
  <c r="K62" i="1"/>
  <c r="H62" i="1"/>
  <c r="E62" i="1"/>
  <c r="K60" i="1"/>
  <c r="H60" i="1"/>
  <c r="E60" i="1"/>
  <c r="K59" i="1"/>
  <c r="H59" i="1"/>
  <c r="E59" i="1"/>
  <c r="K58" i="1"/>
  <c r="H58" i="1"/>
  <c r="E58" i="1"/>
  <c r="K57" i="1"/>
  <c r="H57" i="1"/>
  <c r="E57" i="1"/>
  <c r="K56" i="1"/>
  <c r="H56" i="1"/>
  <c r="E56" i="1"/>
  <c r="K55" i="1"/>
  <c r="H55" i="1"/>
  <c r="E55" i="1"/>
  <c r="K53" i="1"/>
  <c r="H53" i="1"/>
  <c r="E53" i="1"/>
  <c r="K51" i="1"/>
  <c r="H51" i="1"/>
  <c r="E51" i="1"/>
  <c r="K50" i="1"/>
  <c r="H50" i="1"/>
  <c r="E50" i="1"/>
  <c r="K48" i="1"/>
  <c r="H48" i="1"/>
  <c r="E48" i="1"/>
  <c r="K46" i="1"/>
  <c r="H46" i="1"/>
  <c r="E46" i="1"/>
  <c r="K44" i="1"/>
  <c r="H44" i="1"/>
  <c r="E44" i="1"/>
  <c r="K43" i="1"/>
  <c r="H43" i="1"/>
  <c r="E43" i="1"/>
  <c r="K42" i="1"/>
  <c r="H42" i="1"/>
  <c r="E42" i="1"/>
  <c r="K40" i="1"/>
  <c r="H40" i="1"/>
  <c r="E40" i="1"/>
  <c r="K39" i="1"/>
  <c r="H39" i="1"/>
  <c r="E39" i="1"/>
  <c r="K35" i="1"/>
  <c r="H35" i="1"/>
  <c r="E35" i="1"/>
  <c r="K33" i="1"/>
  <c r="H33" i="1"/>
  <c r="E33" i="1"/>
  <c r="K32" i="1"/>
  <c r="H32" i="1"/>
  <c r="E32" i="1"/>
  <c r="K30" i="1"/>
  <c r="H30" i="1"/>
  <c r="E30" i="1"/>
  <c r="K28" i="1"/>
  <c r="H28" i="1"/>
  <c r="E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5" i="1"/>
  <c r="H15" i="1"/>
  <c r="E15" i="1"/>
  <c r="K14" i="1"/>
  <c r="H14" i="1"/>
  <c r="E14" i="1"/>
  <c r="K12" i="1"/>
  <c r="H12" i="1"/>
  <c r="E12" i="1"/>
  <c r="K10" i="1"/>
  <c r="H10" i="1"/>
  <c r="E10" i="1"/>
  <c r="K8" i="1"/>
  <c r="H8" i="1"/>
  <c r="E8" i="1"/>
  <c r="R79" i="1"/>
  <c r="Q79" i="1"/>
  <c r="O79" i="1"/>
  <c r="N79" i="1"/>
  <c r="S78" i="1"/>
  <c r="P78" i="1"/>
  <c r="S77" i="1"/>
  <c r="P77" i="1"/>
  <c r="S76" i="1"/>
  <c r="P76" i="1"/>
  <c r="R75" i="1"/>
  <c r="Q75" i="1"/>
  <c r="O75" i="1"/>
  <c r="N75" i="1"/>
  <c r="S74" i="1"/>
  <c r="P74" i="1"/>
  <c r="S73" i="1"/>
  <c r="P73" i="1"/>
  <c r="S72" i="1"/>
  <c r="P72" i="1"/>
  <c r="S71" i="1"/>
  <c r="P71" i="1"/>
  <c r="R70" i="1"/>
  <c r="Q70" i="1"/>
  <c r="O70" i="1"/>
  <c r="N70" i="1"/>
  <c r="S69" i="1"/>
  <c r="P69" i="1"/>
  <c r="R68" i="1"/>
  <c r="Q68" i="1"/>
  <c r="O68" i="1"/>
  <c r="N68" i="1"/>
  <c r="S67" i="1"/>
  <c r="P67" i="1"/>
  <c r="R66" i="1"/>
  <c r="Q66" i="1"/>
  <c r="O66" i="1"/>
  <c r="N66" i="1"/>
  <c r="S65" i="1"/>
  <c r="P65" i="1"/>
  <c r="S64" i="1"/>
  <c r="P64" i="1"/>
  <c r="R63" i="1"/>
  <c r="Q63" i="1"/>
  <c r="O63" i="1"/>
  <c r="N63" i="1"/>
  <c r="S62" i="1"/>
  <c r="P62" i="1"/>
  <c r="R61" i="1"/>
  <c r="Q61" i="1"/>
  <c r="O61" i="1"/>
  <c r="N61" i="1"/>
  <c r="S60" i="1"/>
  <c r="P60" i="1"/>
  <c r="S59" i="1"/>
  <c r="P59" i="1"/>
  <c r="S58" i="1"/>
  <c r="P58" i="1"/>
  <c r="S57" i="1"/>
  <c r="P57" i="1"/>
  <c r="S56" i="1"/>
  <c r="P56" i="1"/>
  <c r="S55" i="1"/>
  <c r="P55" i="1"/>
  <c r="R54" i="1"/>
  <c r="Q54" i="1"/>
  <c r="O54" i="1"/>
  <c r="N54" i="1"/>
  <c r="S53" i="1"/>
  <c r="P53" i="1"/>
  <c r="R52" i="1"/>
  <c r="Q52" i="1"/>
  <c r="O52" i="1"/>
  <c r="N52" i="1"/>
  <c r="S51" i="1"/>
  <c r="P51" i="1"/>
  <c r="S50" i="1"/>
  <c r="P50" i="1"/>
  <c r="R49" i="1"/>
  <c r="Q49" i="1"/>
  <c r="O49" i="1"/>
  <c r="N49" i="1"/>
  <c r="S48" i="1"/>
  <c r="P48" i="1"/>
  <c r="R47" i="1"/>
  <c r="Q47" i="1"/>
  <c r="O47" i="1"/>
  <c r="N47" i="1"/>
  <c r="S46" i="1"/>
  <c r="P46" i="1"/>
  <c r="R45" i="1"/>
  <c r="Q45" i="1"/>
  <c r="O45" i="1"/>
  <c r="N45" i="1"/>
  <c r="S44" i="1"/>
  <c r="P44" i="1"/>
  <c r="S43" i="1"/>
  <c r="P43" i="1"/>
  <c r="S42" i="1"/>
  <c r="P42" i="1"/>
  <c r="R41" i="1"/>
  <c r="Q41" i="1"/>
  <c r="O41" i="1"/>
  <c r="N41" i="1"/>
  <c r="S40" i="1"/>
  <c r="P40" i="1"/>
  <c r="S39" i="1"/>
  <c r="P39" i="1"/>
  <c r="R36" i="1"/>
  <c r="Q36" i="1"/>
  <c r="O36" i="1"/>
  <c r="N36" i="1"/>
  <c r="S35" i="1"/>
  <c r="P35" i="1"/>
  <c r="R34" i="1"/>
  <c r="Q34" i="1"/>
  <c r="O34" i="1"/>
  <c r="N34" i="1"/>
  <c r="S33" i="1"/>
  <c r="P33" i="1"/>
  <c r="S32" i="1"/>
  <c r="P32" i="1"/>
  <c r="R31" i="1"/>
  <c r="Q31" i="1"/>
  <c r="O31" i="1"/>
  <c r="N31" i="1"/>
  <c r="S30" i="1"/>
  <c r="P30" i="1"/>
  <c r="R29" i="1"/>
  <c r="Q29" i="1"/>
  <c r="O29" i="1"/>
  <c r="N29" i="1"/>
  <c r="S28" i="1"/>
  <c r="P28" i="1"/>
  <c r="S27" i="1"/>
  <c r="P27" i="1"/>
  <c r="S26" i="1"/>
  <c r="P26" i="1"/>
  <c r="S25" i="1"/>
  <c r="P25" i="1"/>
  <c r="S24" i="1"/>
  <c r="P24" i="1"/>
  <c r="S23" i="1"/>
  <c r="P23" i="1"/>
  <c r="S22" i="1"/>
  <c r="P22" i="1"/>
  <c r="S21" i="1"/>
  <c r="P21" i="1"/>
  <c r="S20" i="1"/>
  <c r="P20" i="1"/>
  <c r="S19" i="1"/>
  <c r="P19" i="1"/>
  <c r="S18" i="1"/>
  <c r="P18" i="1"/>
  <c r="S17" i="1"/>
  <c r="P17" i="1"/>
  <c r="R16" i="1"/>
  <c r="Q16" i="1"/>
  <c r="O16" i="1"/>
  <c r="N16" i="1"/>
  <c r="S15" i="1"/>
  <c r="P15" i="1"/>
  <c r="S14" i="1"/>
  <c r="P14" i="1"/>
  <c r="R13" i="1"/>
  <c r="Q13" i="1"/>
  <c r="O13" i="1"/>
  <c r="N13" i="1"/>
  <c r="S12" i="1"/>
  <c r="P12" i="1"/>
  <c r="R11" i="1"/>
  <c r="Q11" i="1"/>
  <c r="O11" i="1"/>
  <c r="N11" i="1"/>
  <c r="S10" i="1"/>
  <c r="P10" i="1"/>
  <c r="R9" i="1"/>
  <c r="Q9" i="1"/>
  <c r="O9" i="1"/>
  <c r="N9" i="1"/>
  <c r="S8" i="1"/>
  <c r="P8" i="1"/>
  <c r="R7" i="1"/>
  <c r="Q7" i="1"/>
  <c r="O7" i="1"/>
  <c r="N7" i="1"/>
  <c r="S6" i="1"/>
  <c r="P6" i="1"/>
  <c r="Y43" i="1"/>
  <c r="S7" i="1" l="1"/>
  <c r="S47" i="1"/>
  <c r="S63" i="1"/>
  <c r="S34" i="1"/>
  <c r="P47" i="1"/>
  <c r="P52" i="1"/>
  <c r="P68" i="1"/>
  <c r="P9" i="1"/>
  <c r="S13" i="1"/>
  <c r="P54" i="1"/>
  <c r="S75" i="1"/>
  <c r="S9" i="1"/>
  <c r="P45" i="1"/>
  <c r="S49" i="1"/>
  <c r="S54" i="1"/>
  <c r="S31" i="1"/>
  <c r="S70" i="1"/>
  <c r="S68" i="1"/>
  <c r="P70" i="1"/>
  <c r="P66" i="1"/>
  <c r="P13" i="1"/>
  <c r="P31" i="1"/>
  <c r="P75" i="1"/>
  <c r="S66" i="1"/>
  <c r="S52" i="1"/>
  <c r="S45" i="1"/>
  <c r="S29" i="1"/>
  <c r="S16" i="1"/>
  <c r="P16" i="1"/>
  <c r="S61" i="1"/>
  <c r="S41" i="1"/>
  <c r="R37" i="1"/>
  <c r="P61" i="1"/>
  <c r="P49" i="1"/>
  <c r="P41" i="1"/>
  <c r="O37" i="1"/>
  <c r="P7" i="1"/>
  <c r="P63" i="1"/>
  <c r="P34" i="1"/>
  <c r="O80" i="1"/>
  <c r="R38" i="1"/>
  <c r="R80" i="1"/>
  <c r="O38" i="1"/>
  <c r="P29" i="1"/>
  <c r="Q80" i="1"/>
  <c r="S79" i="1"/>
  <c r="N80" i="1"/>
  <c r="P79" i="1"/>
  <c r="Q38" i="1"/>
  <c r="S36" i="1"/>
  <c r="N38" i="1"/>
  <c r="P36" i="1"/>
  <c r="S11" i="1"/>
  <c r="Q37" i="1"/>
  <c r="N37" i="1"/>
  <c r="P11" i="1"/>
  <c r="T52" i="1"/>
  <c r="U52" i="1"/>
  <c r="R81" i="1" l="1"/>
  <c r="S37" i="1"/>
  <c r="S38" i="1"/>
  <c r="O81" i="1"/>
  <c r="P37" i="1"/>
  <c r="P38" i="1"/>
  <c r="S80" i="1"/>
  <c r="Q81" i="1"/>
  <c r="P80" i="1"/>
  <c r="N81" i="1"/>
  <c r="D9" i="1"/>
  <c r="C9" i="1"/>
  <c r="S81" i="1" l="1"/>
  <c r="P81" i="1"/>
  <c r="I47" i="1"/>
  <c r="C16" i="1"/>
  <c r="D16" i="1"/>
  <c r="J47" i="1"/>
  <c r="J13" i="1" l="1"/>
  <c r="J9" i="1"/>
  <c r="I9" i="1"/>
  <c r="I7" i="1"/>
  <c r="D11" i="1"/>
  <c r="C11" i="1"/>
  <c r="J7" i="1"/>
  <c r="D7" i="1"/>
  <c r="C7" i="1"/>
  <c r="I13" i="1"/>
  <c r="G16" i="1" l="1"/>
  <c r="F16" i="1"/>
  <c r="J79" i="1"/>
  <c r="D75" i="1"/>
  <c r="D36" i="1"/>
  <c r="O51" i="3"/>
  <c r="N51" i="3"/>
  <c r="M51" i="3"/>
  <c r="Q51" i="3" s="1"/>
  <c r="L51" i="3"/>
  <c r="P51" i="3" s="1"/>
  <c r="O50" i="3"/>
  <c r="N50" i="3"/>
  <c r="M50" i="3"/>
  <c r="L50" i="3"/>
  <c r="O49" i="3"/>
  <c r="N49" i="3"/>
  <c r="M49" i="3"/>
  <c r="L49" i="3"/>
  <c r="P49" i="3" s="1"/>
  <c r="O48" i="3"/>
  <c r="N48" i="3"/>
  <c r="M48" i="3"/>
  <c r="Q48" i="3" s="1"/>
  <c r="L48" i="3"/>
  <c r="O47" i="3"/>
  <c r="N47" i="3"/>
  <c r="M47" i="3"/>
  <c r="L47" i="3"/>
  <c r="P47" i="3" s="1"/>
  <c r="O46" i="3"/>
  <c r="N46" i="3"/>
  <c r="M46" i="3"/>
  <c r="Q46" i="3" s="1"/>
  <c r="L46" i="3"/>
  <c r="O45" i="3"/>
  <c r="N45" i="3"/>
  <c r="M45" i="3"/>
  <c r="Q45" i="3" s="1"/>
  <c r="L45" i="3"/>
  <c r="P45" i="3" s="1"/>
  <c r="O44" i="3"/>
  <c r="N44" i="3"/>
  <c r="M44" i="3"/>
  <c r="L44" i="3"/>
  <c r="P44" i="3" s="1"/>
  <c r="O43" i="3"/>
  <c r="N43" i="3"/>
  <c r="M43" i="3"/>
  <c r="Q43" i="3" s="1"/>
  <c r="L43" i="3"/>
  <c r="P43" i="3" s="1"/>
  <c r="O42" i="3"/>
  <c r="N42" i="3"/>
  <c r="M42" i="3"/>
  <c r="L42" i="3"/>
  <c r="P42" i="3" s="1"/>
  <c r="O41" i="3"/>
  <c r="N41" i="3"/>
  <c r="M41" i="3"/>
  <c r="L41" i="3"/>
  <c r="O40" i="3"/>
  <c r="N40" i="3"/>
  <c r="M40" i="3"/>
  <c r="Q40" i="3" s="1"/>
  <c r="L40" i="3"/>
  <c r="P40" i="3" s="1"/>
  <c r="O39" i="3"/>
  <c r="N39" i="3"/>
  <c r="M39" i="3"/>
  <c r="Q39" i="3" s="1"/>
  <c r="L39" i="3"/>
  <c r="O38" i="3"/>
  <c r="N38" i="3"/>
  <c r="M38" i="3"/>
  <c r="L38" i="3"/>
  <c r="P38" i="3" s="1"/>
  <c r="O37" i="3"/>
  <c r="N37" i="3"/>
  <c r="M37" i="3"/>
  <c r="Q37" i="3" s="1"/>
  <c r="L37" i="3"/>
  <c r="P37" i="3" s="1"/>
  <c r="O36" i="3"/>
  <c r="N36" i="3"/>
  <c r="M36" i="3"/>
  <c r="Q36" i="3" s="1"/>
  <c r="L36" i="3"/>
  <c r="P36" i="3" s="1"/>
  <c r="O35" i="3"/>
  <c r="N35" i="3"/>
  <c r="M35" i="3"/>
  <c r="L35" i="3"/>
  <c r="P35" i="3" s="1"/>
  <c r="O34" i="3"/>
  <c r="N34" i="3"/>
  <c r="M34" i="3"/>
  <c r="Q34" i="3" s="1"/>
  <c r="L34" i="3"/>
  <c r="P34" i="3" s="1"/>
  <c r="O33" i="3"/>
  <c r="N33" i="3"/>
  <c r="M33" i="3"/>
  <c r="Q33" i="3" s="1"/>
  <c r="L33" i="3"/>
  <c r="P33" i="3" s="1"/>
  <c r="O32" i="3"/>
  <c r="N32" i="3"/>
  <c r="M32" i="3"/>
  <c r="L32" i="3"/>
  <c r="O31" i="3"/>
  <c r="N31" i="3"/>
  <c r="M31" i="3"/>
  <c r="Q31" i="3" s="1"/>
  <c r="L31" i="3"/>
  <c r="P31" i="3" s="1"/>
  <c r="O30" i="3"/>
  <c r="N30" i="3"/>
  <c r="M30" i="3"/>
  <c r="Q30" i="3" s="1"/>
  <c r="L30" i="3"/>
  <c r="P30" i="3" s="1"/>
  <c r="O29" i="3"/>
  <c r="N29" i="3"/>
  <c r="M29" i="3"/>
  <c r="L29" i="3"/>
  <c r="P29" i="3" s="1"/>
  <c r="O28" i="3"/>
  <c r="N28" i="3"/>
  <c r="M28" i="3"/>
  <c r="L28" i="3"/>
  <c r="P28" i="3" s="1"/>
  <c r="O27" i="3"/>
  <c r="N27" i="3"/>
  <c r="M27" i="3"/>
  <c r="Q27" i="3" s="1"/>
  <c r="L27" i="3"/>
  <c r="P27" i="3" s="1"/>
  <c r="O26" i="3"/>
  <c r="N26" i="3"/>
  <c r="M26" i="3"/>
  <c r="L26" i="3"/>
  <c r="P26" i="3" s="1"/>
  <c r="O25" i="3"/>
  <c r="N25" i="3"/>
  <c r="M25" i="3"/>
  <c r="Q25" i="3" s="1"/>
  <c r="L25" i="3"/>
  <c r="O24" i="3"/>
  <c r="N24" i="3"/>
  <c r="M24" i="3"/>
  <c r="Q24" i="3" s="1"/>
  <c r="L24" i="3"/>
  <c r="P24" i="3" s="1"/>
  <c r="O23" i="3"/>
  <c r="N23" i="3"/>
  <c r="M23" i="3"/>
  <c r="L23" i="3"/>
  <c r="P23" i="3" s="1"/>
  <c r="O22" i="3"/>
  <c r="N22" i="3"/>
  <c r="M22" i="3"/>
  <c r="Q22" i="3" s="1"/>
  <c r="L22" i="3"/>
  <c r="P22" i="3" s="1"/>
  <c r="O21" i="3"/>
  <c r="N21" i="3"/>
  <c r="M21" i="3"/>
  <c r="L21" i="3"/>
  <c r="P21" i="3" s="1"/>
  <c r="O20" i="3"/>
  <c r="N20" i="3"/>
  <c r="M20" i="3"/>
  <c r="L20" i="3"/>
  <c r="P20" i="3" s="1"/>
  <c r="O19" i="3"/>
  <c r="N19" i="3"/>
  <c r="M19" i="3"/>
  <c r="Q19" i="3" s="1"/>
  <c r="L19" i="3"/>
  <c r="P19" i="3" s="1"/>
  <c r="O18" i="3"/>
  <c r="N18" i="3"/>
  <c r="M18" i="3"/>
  <c r="Q18" i="3" s="1"/>
  <c r="L18" i="3"/>
  <c r="O17" i="3"/>
  <c r="N17" i="3"/>
  <c r="M17" i="3"/>
  <c r="L17" i="3"/>
  <c r="P17" i="3" s="1"/>
  <c r="O16" i="3"/>
  <c r="N16" i="3"/>
  <c r="M16" i="3"/>
  <c r="Q16" i="3" s="1"/>
  <c r="L16" i="3"/>
  <c r="P16" i="3" s="1"/>
  <c r="O15" i="3"/>
  <c r="N15" i="3"/>
  <c r="M15" i="3"/>
  <c r="Q15" i="3" s="1"/>
  <c r="L15" i="3"/>
  <c r="P15" i="3" s="1"/>
  <c r="O14" i="3"/>
  <c r="N14" i="3"/>
  <c r="M14" i="3"/>
  <c r="L14" i="3"/>
  <c r="P14" i="3" s="1"/>
  <c r="O13" i="3"/>
  <c r="N13" i="3"/>
  <c r="M13" i="3"/>
  <c r="Q13" i="3" s="1"/>
  <c r="L13" i="3"/>
  <c r="P13" i="3" s="1"/>
  <c r="O12" i="3"/>
  <c r="N12" i="3"/>
  <c r="M12" i="3"/>
  <c r="Q12" i="3" s="1"/>
  <c r="L12" i="3"/>
  <c r="P12" i="3" s="1"/>
  <c r="O11" i="3"/>
  <c r="N11" i="3"/>
  <c r="M11" i="3"/>
  <c r="L11" i="3"/>
  <c r="O10" i="3"/>
  <c r="N10" i="3"/>
  <c r="M10" i="3"/>
  <c r="Q10" i="3" s="1"/>
  <c r="L10" i="3"/>
  <c r="P10" i="3" s="1"/>
  <c r="O9" i="3"/>
  <c r="N9" i="3"/>
  <c r="M9" i="3"/>
  <c r="Q9" i="3" s="1"/>
  <c r="L9" i="3"/>
  <c r="O8" i="3"/>
  <c r="N8" i="3"/>
  <c r="M8" i="3"/>
  <c r="L8" i="3"/>
  <c r="P8" i="3" s="1"/>
  <c r="O7" i="3"/>
  <c r="N7" i="3"/>
  <c r="M7" i="3"/>
  <c r="L7" i="3"/>
  <c r="O6" i="3"/>
  <c r="N6" i="3"/>
  <c r="M6" i="3"/>
  <c r="Q6" i="3" s="1"/>
  <c r="L6" i="3"/>
  <c r="P6" i="3" s="1"/>
  <c r="O5" i="3"/>
  <c r="N5" i="3"/>
  <c r="M5" i="3"/>
  <c r="L5" i="3"/>
  <c r="P5" i="3" s="1"/>
  <c r="O4" i="3"/>
  <c r="N4" i="3"/>
  <c r="M4" i="3"/>
  <c r="Q4" i="3" s="1"/>
  <c r="L4" i="3"/>
  <c r="O3" i="3"/>
  <c r="N3" i="3"/>
  <c r="M3" i="3"/>
  <c r="Q3" i="3" s="1"/>
  <c r="L3" i="3"/>
  <c r="P3" i="3" s="1"/>
  <c r="O2" i="3"/>
  <c r="N2" i="3"/>
  <c r="M2" i="3"/>
  <c r="L2" i="3"/>
  <c r="P2" i="3" s="1"/>
  <c r="F31" i="1"/>
  <c r="G54" i="1"/>
  <c r="AA45" i="1"/>
  <c r="X36" i="1"/>
  <c r="I54" i="1"/>
  <c r="I11" i="1"/>
  <c r="Z45" i="1"/>
  <c r="W36" i="1"/>
  <c r="P41" i="3" l="1"/>
  <c r="P48" i="3"/>
  <c r="Q7" i="3"/>
  <c r="Q21" i="3"/>
  <c r="Q28" i="3"/>
  <c r="Q42" i="3"/>
  <c r="P11" i="3"/>
  <c r="P18" i="3"/>
  <c r="P25" i="3"/>
  <c r="P32" i="3"/>
  <c r="P39" i="3"/>
  <c r="P46" i="3"/>
  <c r="Q49" i="3"/>
  <c r="Q2" i="3"/>
  <c r="Q5" i="3"/>
  <c r="Q8" i="3"/>
  <c r="Q11" i="3"/>
  <c r="Q14" i="3"/>
  <c r="Q20" i="3"/>
  <c r="Q23" i="3"/>
  <c r="Q26" i="3"/>
  <c r="Q29" i="3"/>
  <c r="Q32" i="3"/>
  <c r="Q35" i="3"/>
  <c r="Q38" i="3"/>
  <c r="Q41" i="3"/>
  <c r="Q44" i="3"/>
  <c r="Q47" i="3"/>
  <c r="Q50" i="3"/>
  <c r="Q17" i="3"/>
  <c r="P9" i="3"/>
  <c r="P4" i="3"/>
  <c r="P7" i="3"/>
  <c r="P50" i="3"/>
  <c r="G66" i="1"/>
  <c r="F66" i="1"/>
  <c r="G31" i="1"/>
  <c r="J11" i="1"/>
  <c r="F54" i="1"/>
  <c r="J54" i="1"/>
  <c r="M8" i="1"/>
  <c r="I79" i="1"/>
  <c r="C75" i="1"/>
  <c r="C36" i="1"/>
  <c r="J31" i="1"/>
  <c r="I31" i="1"/>
  <c r="C13" i="1" l="1"/>
  <c r="D13" i="1"/>
  <c r="J29" i="1" l="1"/>
  <c r="I29" i="1"/>
  <c r="Z66" i="1" l="1"/>
  <c r="AA66" i="1"/>
  <c r="T9" i="1" l="1"/>
  <c r="U9" i="1"/>
  <c r="D34" i="1" l="1"/>
  <c r="C34" i="1"/>
  <c r="V44" i="1" l="1"/>
  <c r="V43" i="1"/>
  <c r="G45" i="1" l="1"/>
  <c r="D47" i="1"/>
  <c r="C47" i="1"/>
  <c r="F45" i="1"/>
  <c r="J61" i="1" l="1"/>
  <c r="I61" i="1"/>
  <c r="J49" i="1"/>
  <c r="I49" i="1"/>
  <c r="G9" i="1"/>
  <c r="F9" i="1"/>
  <c r="E9" i="1" l="1"/>
  <c r="K9" i="1"/>
  <c r="H9" i="1"/>
  <c r="G47" i="1"/>
  <c r="F47" i="1"/>
  <c r="L9" i="1" l="1"/>
  <c r="U45" i="1"/>
  <c r="T45" i="1"/>
  <c r="AB44" i="1" l="1"/>
  <c r="AD44" i="1" s="1"/>
  <c r="AB43" i="1"/>
  <c r="AD43" i="1" s="1"/>
  <c r="Y44" i="1"/>
  <c r="AC44" i="1" s="1"/>
  <c r="AC43" i="1"/>
  <c r="J45" i="1" l="1"/>
  <c r="I45" i="1"/>
  <c r="D45" i="1"/>
  <c r="C45" i="1"/>
  <c r="F36" i="1"/>
  <c r="D79" i="1"/>
  <c r="F79" i="1"/>
  <c r="I75" i="1"/>
  <c r="M69" i="1"/>
  <c r="F70" i="1"/>
  <c r="D70" i="1"/>
  <c r="C70" i="1"/>
  <c r="M67" i="1"/>
  <c r="D68" i="1"/>
  <c r="I66" i="1"/>
  <c r="M62" i="1"/>
  <c r="D63" i="1"/>
  <c r="M58" i="1"/>
  <c r="F61" i="1"/>
  <c r="M57" i="1"/>
  <c r="G61" i="1"/>
  <c r="D61" i="1"/>
  <c r="D54" i="1"/>
  <c r="C54" i="1"/>
  <c r="M51" i="1"/>
  <c r="M50" i="1"/>
  <c r="G52" i="1"/>
  <c r="F52" i="1"/>
  <c r="M48" i="1"/>
  <c r="D49" i="1"/>
  <c r="M44" i="1"/>
  <c r="M43" i="1"/>
  <c r="G41" i="1"/>
  <c r="M35" i="1"/>
  <c r="M33" i="1"/>
  <c r="M26" i="1"/>
  <c r="M18" i="1"/>
  <c r="M17" i="1"/>
  <c r="M15" i="1"/>
  <c r="M10" i="1"/>
  <c r="G11" i="1"/>
  <c r="G7" i="1"/>
  <c r="F7" i="1"/>
  <c r="C79" i="1"/>
  <c r="J75" i="1"/>
  <c r="G75" i="1"/>
  <c r="J70" i="1"/>
  <c r="I70" i="1"/>
  <c r="G70" i="1"/>
  <c r="J68" i="1"/>
  <c r="G68" i="1"/>
  <c r="F68" i="1"/>
  <c r="C68" i="1"/>
  <c r="J66" i="1"/>
  <c r="D66" i="1"/>
  <c r="C66" i="1"/>
  <c r="J63" i="1"/>
  <c r="I63" i="1"/>
  <c r="G63" i="1"/>
  <c r="F63" i="1"/>
  <c r="C63" i="1"/>
  <c r="J52" i="1"/>
  <c r="I52" i="1"/>
  <c r="C52" i="1"/>
  <c r="G49" i="1"/>
  <c r="C49" i="1"/>
  <c r="J41" i="1"/>
  <c r="I41" i="1"/>
  <c r="F41" i="1"/>
  <c r="D41" i="1"/>
  <c r="C41" i="1"/>
  <c r="J36" i="1"/>
  <c r="G36" i="1"/>
  <c r="J34" i="1"/>
  <c r="F34" i="1"/>
  <c r="D31" i="1"/>
  <c r="C31" i="1"/>
  <c r="G29" i="1"/>
  <c r="F29" i="1"/>
  <c r="J16" i="1"/>
  <c r="G13" i="1"/>
  <c r="F13" i="1"/>
  <c r="M32" i="1" l="1"/>
  <c r="M65" i="1"/>
  <c r="M59" i="1"/>
  <c r="M55" i="1"/>
  <c r="L43" i="1"/>
  <c r="L44" i="1"/>
  <c r="M73" i="1"/>
  <c r="M19" i="1"/>
  <c r="M78" i="1"/>
  <c r="M76" i="1"/>
  <c r="M14" i="1"/>
  <c r="E75" i="1"/>
  <c r="K11" i="1"/>
  <c r="E16" i="1"/>
  <c r="M74" i="1"/>
  <c r="M72" i="1"/>
  <c r="M60" i="1"/>
  <c r="K31" i="1"/>
  <c r="K54" i="1"/>
  <c r="M39" i="1"/>
  <c r="M77" i="1"/>
  <c r="E66" i="1"/>
  <c r="E54" i="1"/>
  <c r="K41" i="1"/>
  <c r="H52" i="1"/>
  <c r="H29" i="1"/>
  <c r="H16" i="1"/>
  <c r="L14" i="1"/>
  <c r="E13" i="1"/>
  <c r="J80" i="1"/>
  <c r="L71" i="1"/>
  <c r="L74" i="1"/>
  <c r="E70" i="1"/>
  <c r="L67" i="1"/>
  <c r="L32" i="1"/>
  <c r="L17" i="1"/>
  <c r="L12" i="1"/>
  <c r="M12" i="1"/>
  <c r="E47" i="1"/>
  <c r="H47" i="1"/>
  <c r="M46" i="1"/>
  <c r="L77" i="1"/>
  <c r="K75" i="1"/>
  <c r="K70" i="1"/>
  <c r="M70" i="1" s="1"/>
  <c r="H70" i="1"/>
  <c r="L64" i="1"/>
  <c r="K66" i="1"/>
  <c r="L62" i="1"/>
  <c r="L59" i="1"/>
  <c r="L48" i="1"/>
  <c r="E45" i="1"/>
  <c r="L40" i="1"/>
  <c r="L39" i="1"/>
  <c r="H36" i="1"/>
  <c r="E34" i="1"/>
  <c r="L33" i="1"/>
  <c r="M30" i="1"/>
  <c r="L30" i="1"/>
  <c r="E31" i="1"/>
  <c r="L21" i="1"/>
  <c r="L24" i="1"/>
  <c r="L27" i="1"/>
  <c r="M22" i="1"/>
  <c r="M27" i="1"/>
  <c r="M24" i="1"/>
  <c r="L15" i="1"/>
  <c r="K13" i="1"/>
  <c r="L78" i="1"/>
  <c r="K79" i="1"/>
  <c r="G79" i="1"/>
  <c r="H79" i="1" s="1"/>
  <c r="L76" i="1"/>
  <c r="L73" i="1"/>
  <c r="L72" i="1"/>
  <c r="F75" i="1"/>
  <c r="H75" i="1" s="1"/>
  <c r="M71" i="1"/>
  <c r="L69" i="1"/>
  <c r="E68" i="1"/>
  <c r="H68" i="1"/>
  <c r="I68" i="1"/>
  <c r="K68" i="1" s="1"/>
  <c r="L65" i="1"/>
  <c r="H66" i="1"/>
  <c r="M64" i="1"/>
  <c r="K63" i="1"/>
  <c r="E63" i="1"/>
  <c r="H63" i="1"/>
  <c r="L55" i="1"/>
  <c r="L56" i="1"/>
  <c r="L60" i="1"/>
  <c r="M56" i="1"/>
  <c r="H61" i="1"/>
  <c r="L58" i="1"/>
  <c r="C61" i="1"/>
  <c r="E61" i="1" s="1"/>
  <c r="L57" i="1"/>
  <c r="L53" i="1"/>
  <c r="H54" i="1"/>
  <c r="L51" i="1"/>
  <c r="K52" i="1"/>
  <c r="L50" i="1"/>
  <c r="D52" i="1"/>
  <c r="E52" i="1" s="1"/>
  <c r="F49" i="1"/>
  <c r="H49" i="1" s="1"/>
  <c r="K49" i="1"/>
  <c r="M49" i="1" s="1"/>
  <c r="E49" i="1"/>
  <c r="L46" i="1"/>
  <c r="K47" i="1"/>
  <c r="H45" i="1"/>
  <c r="K45" i="1"/>
  <c r="M40" i="1"/>
  <c r="E41" i="1"/>
  <c r="H41" i="1"/>
  <c r="I36" i="1"/>
  <c r="K36" i="1" s="1"/>
  <c r="M36" i="1" s="1"/>
  <c r="G34" i="1"/>
  <c r="H34" i="1" s="1"/>
  <c r="I34" i="1"/>
  <c r="K34" i="1" s="1"/>
  <c r="M34" i="1" s="1"/>
  <c r="H31" i="1"/>
  <c r="L20" i="1"/>
  <c r="M21" i="1"/>
  <c r="L25" i="1"/>
  <c r="M20" i="1"/>
  <c r="M25" i="1"/>
  <c r="L19" i="1"/>
  <c r="L18" i="1"/>
  <c r="L23" i="1"/>
  <c r="L28" i="1"/>
  <c r="M23" i="1"/>
  <c r="M28" i="1"/>
  <c r="L22" i="1"/>
  <c r="L26" i="1"/>
  <c r="D29" i="1"/>
  <c r="D38" i="1" s="1"/>
  <c r="J37" i="1"/>
  <c r="C29" i="1"/>
  <c r="C38" i="1" s="1"/>
  <c r="I16" i="1"/>
  <c r="K16" i="1" s="1"/>
  <c r="H13" i="1"/>
  <c r="L10" i="1"/>
  <c r="E11" i="1"/>
  <c r="F11" i="1"/>
  <c r="K6" i="1"/>
  <c r="K7" i="1"/>
  <c r="J38" i="1"/>
  <c r="H7" i="1"/>
  <c r="H6" i="1"/>
  <c r="E7" i="1"/>
  <c r="E6" i="1"/>
  <c r="K61" i="1"/>
  <c r="E79" i="1"/>
  <c r="E36" i="1"/>
  <c r="K29" i="1"/>
  <c r="M45" i="1" l="1"/>
  <c r="M68" i="1"/>
  <c r="M52" i="1"/>
  <c r="M63" i="1"/>
  <c r="M11" i="1"/>
  <c r="M75" i="1"/>
  <c r="L75" i="1"/>
  <c r="M16" i="1"/>
  <c r="L16" i="1"/>
  <c r="G37" i="1"/>
  <c r="M61" i="1"/>
  <c r="M66" i="1"/>
  <c r="M54" i="1"/>
  <c r="M41" i="1"/>
  <c r="M31" i="1"/>
  <c r="M47" i="1"/>
  <c r="L36" i="1"/>
  <c r="L66" i="1"/>
  <c r="L54" i="1"/>
  <c r="M9" i="1"/>
  <c r="M79" i="1"/>
  <c r="F38" i="1"/>
  <c r="L34" i="1"/>
  <c r="L31" i="1"/>
  <c r="L52" i="1"/>
  <c r="L13" i="1"/>
  <c r="M13" i="1"/>
  <c r="M53" i="1"/>
  <c r="L61" i="1"/>
  <c r="I80" i="1"/>
  <c r="J81" i="1"/>
  <c r="G80" i="1"/>
  <c r="L70" i="1"/>
  <c r="L63" i="1"/>
  <c r="F80" i="1"/>
  <c r="L47" i="1"/>
  <c r="G38" i="1"/>
  <c r="L68" i="1"/>
  <c r="C80" i="1"/>
  <c r="C81" i="1" s="1"/>
  <c r="D80" i="1"/>
  <c r="D81" i="1" s="1"/>
  <c r="L41" i="1"/>
  <c r="L45" i="1"/>
  <c r="L35" i="1"/>
  <c r="I38" i="1"/>
  <c r="I37" i="1"/>
  <c r="K37" i="1" s="1"/>
  <c r="F37" i="1"/>
  <c r="L8" i="1"/>
  <c r="M6" i="1"/>
  <c r="L79" i="1"/>
  <c r="L49" i="1"/>
  <c r="D37" i="1"/>
  <c r="E38" i="1"/>
  <c r="E29" i="1"/>
  <c r="L29" i="1" s="1"/>
  <c r="C37" i="1"/>
  <c r="H11" i="1"/>
  <c r="L11" i="1" s="1"/>
  <c r="L7" i="1"/>
  <c r="M7" i="1"/>
  <c r="L6" i="1"/>
  <c r="H37" i="1" l="1"/>
  <c r="F81" i="1"/>
  <c r="K38" i="1"/>
  <c r="M38" i="1" s="1"/>
  <c r="I81" i="1"/>
  <c r="K81" i="1" s="1"/>
  <c r="G81" i="1"/>
  <c r="H80" i="1"/>
  <c r="H38" i="1"/>
  <c r="L38" i="1" s="1"/>
  <c r="E81" i="1"/>
  <c r="E37" i="1"/>
  <c r="K80" i="1"/>
  <c r="E80" i="1"/>
  <c r="M29" i="1"/>
  <c r="L37" i="1" l="1"/>
  <c r="H81" i="1"/>
  <c r="L81" i="1" s="1"/>
  <c r="M37" i="1"/>
  <c r="M81" i="1"/>
  <c r="L80" i="1"/>
  <c r="M80" i="1"/>
  <c r="U70" i="1" l="1"/>
  <c r="T70" i="1"/>
  <c r="U68" i="1"/>
  <c r="T68" i="1"/>
  <c r="U66" i="1"/>
  <c r="T66" i="1"/>
  <c r="U63" i="1"/>
  <c r="T63" i="1"/>
  <c r="U61" i="1"/>
  <c r="T61" i="1"/>
  <c r="T54" i="1"/>
  <c r="U54" i="1"/>
  <c r="U49" i="1"/>
  <c r="T49" i="1"/>
  <c r="U47" i="1"/>
  <c r="T47" i="1"/>
  <c r="U41" i="1"/>
  <c r="T41" i="1"/>
  <c r="U36" i="1"/>
  <c r="T36" i="1"/>
  <c r="U34" i="1"/>
  <c r="T34" i="1"/>
  <c r="U31" i="1"/>
  <c r="T31" i="1"/>
  <c r="X16" i="1"/>
  <c r="W16" i="1"/>
  <c r="X13" i="1"/>
  <c r="W13" i="1"/>
  <c r="X11" i="1"/>
  <c r="W11" i="1"/>
  <c r="X9" i="1"/>
  <c r="W9" i="1"/>
  <c r="X7" i="1"/>
  <c r="W7" i="1"/>
  <c r="X45" i="1" l="1"/>
  <c r="W45" i="1"/>
  <c r="AB27" i="1" l="1"/>
  <c r="Y27" i="1"/>
  <c r="V27" i="1"/>
  <c r="AD27" i="1" l="1"/>
  <c r="AC27" i="1"/>
  <c r="AA79" i="1" l="1"/>
  <c r="Z79" i="1" l="1"/>
  <c r="V6" i="1" l="1"/>
  <c r="U7" i="1"/>
  <c r="V8" i="1"/>
  <c r="V10" i="1"/>
  <c r="T11" i="1"/>
  <c r="U11" i="1"/>
  <c r="V12" i="1"/>
  <c r="T13" i="1"/>
  <c r="U13" i="1"/>
  <c r="V14" i="1"/>
  <c r="V15" i="1"/>
  <c r="T16" i="1"/>
  <c r="U16" i="1"/>
  <c r="V17" i="1"/>
  <c r="V18" i="1"/>
  <c r="V19" i="1"/>
  <c r="V20" i="1"/>
  <c r="V21" i="1"/>
  <c r="V22" i="1"/>
  <c r="V23" i="1"/>
  <c r="V24" i="1"/>
  <c r="V25" i="1"/>
  <c r="V26" i="1"/>
  <c r="V28" i="1"/>
  <c r="T29" i="1"/>
  <c r="U29" i="1"/>
  <c r="W29" i="1"/>
  <c r="X29" i="1"/>
  <c r="V30" i="1"/>
  <c r="W31" i="1"/>
  <c r="X31" i="1"/>
  <c r="V32" i="1"/>
  <c r="V33" i="1"/>
  <c r="W34" i="1"/>
  <c r="X34" i="1"/>
  <c r="V35" i="1"/>
  <c r="V39" i="1"/>
  <c r="V40" i="1"/>
  <c r="W41" i="1"/>
  <c r="X41" i="1"/>
  <c r="V42" i="1"/>
  <c r="V46" i="1"/>
  <c r="W47" i="1"/>
  <c r="X47" i="1"/>
  <c r="V48" i="1"/>
  <c r="W49" i="1"/>
  <c r="X49" i="1"/>
  <c r="V50" i="1"/>
  <c r="V51" i="1"/>
  <c r="W52" i="1"/>
  <c r="X52" i="1"/>
  <c r="V53" i="1"/>
  <c r="W54" i="1"/>
  <c r="X54" i="1"/>
  <c r="V55" i="1"/>
  <c r="V56" i="1"/>
  <c r="V57" i="1"/>
  <c r="V58" i="1"/>
  <c r="V59" i="1"/>
  <c r="V60" i="1"/>
  <c r="W61" i="1"/>
  <c r="X61" i="1"/>
  <c r="V62" i="1"/>
  <c r="W63" i="1"/>
  <c r="X63" i="1"/>
  <c r="V64" i="1"/>
  <c r="V65" i="1"/>
  <c r="W66" i="1"/>
  <c r="X66" i="1"/>
  <c r="V67" i="1"/>
  <c r="W68" i="1"/>
  <c r="X68" i="1"/>
  <c r="V69" i="1"/>
  <c r="W70" i="1"/>
  <c r="X70" i="1"/>
  <c r="V71" i="1"/>
  <c r="V72" i="1"/>
  <c r="V73" i="1"/>
  <c r="V74" i="1"/>
  <c r="T75" i="1"/>
  <c r="U75" i="1"/>
  <c r="W75" i="1"/>
  <c r="X75" i="1"/>
  <c r="V76" i="1"/>
  <c r="V77" i="1"/>
  <c r="V78" i="1"/>
  <c r="T79" i="1"/>
  <c r="U79" i="1"/>
  <c r="W79" i="1"/>
  <c r="X79" i="1"/>
  <c r="T38" i="1" l="1"/>
  <c r="U38" i="1"/>
  <c r="U80" i="1"/>
  <c r="T80" i="1"/>
  <c r="T37" i="1"/>
  <c r="U37" i="1"/>
  <c r="V68" i="1"/>
  <c r="V61" i="1"/>
  <c r="V52" i="1"/>
  <c r="V45" i="1"/>
  <c r="V13" i="1"/>
  <c r="V63" i="1"/>
  <c r="V16" i="1"/>
  <c r="V66" i="1"/>
  <c r="V36" i="1"/>
  <c r="V31" i="1"/>
  <c r="V11" i="1"/>
  <c r="V49" i="1"/>
  <c r="V41" i="1"/>
  <c r="V79" i="1"/>
  <c r="X37" i="1"/>
  <c r="V9" i="1"/>
  <c r="X80" i="1"/>
  <c r="V47" i="1"/>
  <c r="W80" i="1"/>
  <c r="X38" i="1"/>
  <c r="V75" i="1"/>
  <c r="V70" i="1"/>
  <c r="V7" i="1"/>
  <c r="W38" i="1"/>
  <c r="V34" i="1"/>
  <c r="W37" i="1"/>
  <c r="V29" i="1"/>
  <c r="V54" i="1"/>
  <c r="F129" i="2"/>
  <c r="G129" i="2"/>
  <c r="H129" i="2"/>
  <c r="I129" i="2"/>
  <c r="X81" i="1" l="1"/>
  <c r="V37" i="1"/>
  <c r="V38" i="1"/>
  <c r="W81" i="1"/>
  <c r="U81" i="1"/>
  <c r="T81" i="1"/>
  <c r="V80" i="1"/>
  <c r="V81" i="1" l="1"/>
  <c r="AA47" i="1"/>
  <c r="Z47" i="1"/>
  <c r="AB62" i="1" l="1"/>
  <c r="AA63" i="1"/>
  <c r="Z63" i="1"/>
  <c r="Y62" i="1"/>
  <c r="AC62" i="1" s="1"/>
  <c r="AC63" i="1" s="1"/>
  <c r="AD62" i="1" l="1"/>
  <c r="AD63" i="1" s="1"/>
  <c r="Y63" i="1"/>
  <c r="AB63" i="1"/>
  <c r="AA70" i="1" l="1"/>
  <c r="Z70" i="1"/>
  <c r="AB78" i="1" l="1"/>
  <c r="AD78" i="1" s="1"/>
  <c r="Y78" i="1"/>
  <c r="AC78" i="1" s="1"/>
  <c r="AB77" i="1"/>
  <c r="AD77" i="1" s="1"/>
  <c r="Y77" i="1"/>
  <c r="AC77" i="1" s="1"/>
  <c r="AB76" i="1"/>
  <c r="AD76" i="1" s="1"/>
  <c r="Y76" i="1"/>
  <c r="AC76" i="1" s="1"/>
  <c r="AA75" i="1"/>
  <c r="Z75" i="1"/>
  <c r="AB74" i="1"/>
  <c r="AD74" i="1" s="1"/>
  <c r="Y74" i="1"/>
  <c r="AC74" i="1" s="1"/>
  <c r="AB73" i="1"/>
  <c r="AD73" i="1" s="1"/>
  <c r="Y73" i="1"/>
  <c r="AC73" i="1" s="1"/>
  <c r="AB72" i="1"/>
  <c r="AD72" i="1" s="1"/>
  <c r="Y72" i="1"/>
  <c r="AC72" i="1" s="1"/>
  <c r="AB71" i="1"/>
  <c r="AD71" i="1" s="1"/>
  <c r="Y71" i="1"/>
  <c r="AC71" i="1" s="1"/>
  <c r="AB70" i="1"/>
  <c r="AD70" i="1" s="1"/>
  <c r="AB69" i="1"/>
  <c r="AD69" i="1" s="1"/>
  <c r="Y69" i="1"/>
  <c r="AC69" i="1" s="1"/>
  <c r="AA68" i="1"/>
  <c r="Z68" i="1"/>
  <c r="AB67" i="1"/>
  <c r="AD67" i="1" s="1"/>
  <c r="Y67" i="1"/>
  <c r="AC67" i="1" s="1"/>
  <c r="AB65" i="1"/>
  <c r="AD65" i="1" s="1"/>
  <c r="Y65" i="1"/>
  <c r="AC65" i="1" s="1"/>
  <c r="AB64" i="1"/>
  <c r="AD64" i="1" s="1"/>
  <c r="Y64" i="1"/>
  <c r="AC64" i="1" s="1"/>
  <c r="AA61" i="1"/>
  <c r="Z61" i="1"/>
  <c r="AB60" i="1"/>
  <c r="AD60" i="1" s="1"/>
  <c r="Y60" i="1"/>
  <c r="AC60" i="1" s="1"/>
  <c r="AB59" i="1"/>
  <c r="AD59" i="1" s="1"/>
  <c r="Y59" i="1"/>
  <c r="AC59" i="1" s="1"/>
  <c r="AB58" i="1"/>
  <c r="AD58" i="1" s="1"/>
  <c r="Y58" i="1"/>
  <c r="AC58" i="1" s="1"/>
  <c r="AB57" i="1"/>
  <c r="AD57" i="1" s="1"/>
  <c r="Y57" i="1"/>
  <c r="AC57" i="1" s="1"/>
  <c r="AB56" i="1"/>
  <c r="AD56" i="1" s="1"/>
  <c r="Y56" i="1"/>
  <c r="AC56" i="1" s="1"/>
  <c r="AB55" i="1"/>
  <c r="AD55" i="1" s="1"/>
  <c r="Y55" i="1"/>
  <c r="AC55" i="1" s="1"/>
  <c r="AA54" i="1"/>
  <c r="Z54" i="1"/>
  <c r="AB53" i="1"/>
  <c r="AD53" i="1" s="1"/>
  <c r="Y53" i="1"/>
  <c r="AC53" i="1" s="1"/>
  <c r="AA52" i="1"/>
  <c r="Z52" i="1"/>
  <c r="AB51" i="1"/>
  <c r="AD51" i="1" s="1"/>
  <c r="Y51" i="1"/>
  <c r="AC51" i="1" s="1"/>
  <c r="AB50" i="1"/>
  <c r="AD50" i="1" s="1"/>
  <c r="Y50" i="1"/>
  <c r="AC50" i="1" s="1"/>
  <c r="AA49" i="1"/>
  <c r="Z49" i="1"/>
  <c r="AB48" i="1"/>
  <c r="AD48" i="1" s="1"/>
  <c r="Y48" i="1"/>
  <c r="AC48" i="1" s="1"/>
  <c r="AB46" i="1"/>
  <c r="AD46" i="1" s="1"/>
  <c r="Y46" i="1"/>
  <c r="AC46" i="1" s="1"/>
  <c r="AB42" i="1"/>
  <c r="AD42" i="1" s="1"/>
  <c r="Y42" i="1"/>
  <c r="AC42" i="1" s="1"/>
  <c r="AA41" i="1"/>
  <c r="Z41" i="1"/>
  <c r="AB40" i="1"/>
  <c r="AD40" i="1" s="1"/>
  <c r="Y40" i="1"/>
  <c r="AC40" i="1" s="1"/>
  <c r="AB39" i="1"/>
  <c r="AD39" i="1" s="1"/>
  <c r="Y39" i="1"/>
  <c r="AC39" i="1" s="1"/>
  <c r="AA36" i="1"/>
  <c r="Z36" i="1"/>
  <c r="AB35" i="1"/>
  <c r="AD35" i="1" s="1"/>
  <c r="Y35" i="1"/>
  <c r="AC35" i="1" s="1"/>
  <c r="AA34" i="1"/>
  <c r="Z34" i="1"/>
  <c r="AB33" i="1"/>
  <c r="AD33" i="1" s="1"/>
  <c r="Y33" i="1"/>
  <c r="AC33" i="1" s="1"/>
  <c r="AB32" i="1"/>
  <c r="AD32" i="1" s="1"/>
  <c r="Y32" i="1"/>
  <c r="AC32" i="1" s="1"/>
  <c r="AA31" i="1"/>
  <c r="Z31" i="1"/>
  <c r="AB30" i="1"/>
  <c r="AD30" i="1" s="1"/>
  <c r="Y30" i="1"/>
  <c r="AC30" i="1" s="1"/>
  <c r="AB28" i="1"/>
  <c r="AD28" i="1" s="1"/>
  <c r="Y28" i="1"/>
  <c r="AC28" i="1" s="1"/>
  <c r="AB26" i="1"/>
  <c r="AD26" i="1" s="1"/>
  <c r="Y26" i="1"/>
  <c r="AC26" i="1" s="1"/>
  <c r="AB25" i="1"/>
  <c r="AD25" i="1" s="1"/>
  <c r="Y25" i="1"/>
  <c r="AC25" i="1" s="1"/>
  <c r="AB24" i="1"/>
  <c r="AD24" i="1" s="1"/>
  <c r="Y24" i="1"/>
  <c r="AC24" i="1" s="1"/>
  <c r="AB23" i="1"/>
  <c r="AD23" i="1" s="1"/>
  <c r="Y23" i="1"/>
  <c r="AC23" i="1" s="1"/>
  <c r="AB22" i="1"/>
  <c r="AD22" i="1" s="1"/>
  <c r="Y22" i="1"/>
  <c r="AC22" i="1" s="1"/>
  <c r="AB21" i="1"/>
  <c r="AD21" i="1" s="1"/>
  <c r="Y21" i="1"/>
  <c r="AC21" i="1" s="1"/>
  <c r="AB20" i="1"/>
  <c r="AD20" i="1" s="1"/>
  <c r="Y20" i="1"/>
  <c r="AC20" i="1" s="1"/>
  <c r="AB19" i="1"/>
  <c r="AD19" i="1" s="1"/>
  <c r="Y19" i="1"/>
  <c r="AC19" i="1" s="1"/>
  <c r="AB18" i="1"/>
  <c r="AD18" i="1" s="1"/>
  <c r="Y18" i="1"/>
  <c r="AC18" i="1" s="1"/>
  <c r="AB17" i="1"/>
  <c r="AD17" i="1" s="1"/>
  <c r="Y17" i="1"/>
  <c r="AC17" i="1" s="1"/>
  <c r="AA16" i="1"/>
  <c r="Z16" i="1"/>
  <c r="AB15" i="1"/>
  <c r="AD15" i="1" s="1"/>
  <c r="Y15" i="1"/>
  <c r="AC15" i="1" s="1"/>
  <c r="AB14" i="1"/>
  <c r="AD14" i="1" s="1"/>
  <c r="Y14" i="1"/>
  <c r="AC14" i="1" s="1"/>
  <c r="AA13" i="1"/>
  <c r="Z13" i="1"/>
  <c r="AB12" i="1"/>
  <c r="AD12" i="1" s="1"/>
  <c r="Y12" i="1"/>
  <c r="AC12" i="1" s="1"/>
  <c r="AA11" i="1"/>
  <c r="Z11" i="1"/>
  <c r="AB10" i="1"/>
  <c r="AD10" i="1" s="1"/>
  <c r="Y10" i="1"/>
  <c r="AC10" i="1" s="1"/>
  <c r="AA9" i="1"/>
  <c r="Z9" i="1"/>
  <c r="AB8" i="1"/>
  <c r="AD8" i="1" s="1"/>
  <c r="Y8" i="1"/>
  <c r="AC8" i="1" s="1"/>
  <c r="AA7" i="1"/>
  <c r="Z7" i="1"/>
  <c r="AB6" i="1"/>
  <c r="Y6" i="1"/>
  <c r="Z80" i="1" l="1"/>
  <c r="AA80" i="1"/>
  <c r="Y75" i="1"/>
  <c r="AC75" i="1" s="1"/>
  <c r="AB79" i="1"/>
  <c r="AD79" i="1" s="1"/>
  <c r="AB75" i="1"/>
  <c r="AD75" i="1" s="1"/>
  <c r="AB11" i="1"/>
  <c r="AD11" i="1" s="1"/>
  <c r="AB29" i="1"/>
  <c r="AD29" i="1" s="1"/>
  <c r="Y68" i="1"/>
  <c r="AC68" i="1" s="1"/>
  <c r="Y31" i="1"/>
  <c r="AC31" i="1" s="1"/>
  <c r="AB36" i="1"/>
  <c r="AD36" i="1" s="1"/>
  <c r="AB41" i="1"/>
  <c r="AD41" i="1" s="1"/>
  <c r="Y49" i="1"/>
  <c r="AC49" i="1" s="1"/>
  <c r="Y61" i="1"/>
  <c r="AC61" i="1" s="1"/>
  <c r="Y66" i="1"/>
  <c r="AC66" i="1" s="1"/>
  <c r="AB68" i="1"/>
  <c r="AD68" i="1" s="1"/>
  <c r="AB13" i="1"/>
  <c r="AD13" i="1" s="1"/>
  <c r="AB16" i="1"/>
  <c r="AD16" i="1" s="1"/>
  <c r="AB31" i="1"/>
  <c r="AD31" i="1" s="1"/>
  <c r="AB49" i="1"/>
  <c r="AD49" i="1" s="1"/>
  <c r="AB61" i="1"/>
  <c r="AD61" i="1" s="1"/>
  <c r="AB66" i="1"/>
  <c r="AD66" i="1" s="1"/>
  <c r="AB54" i="1"/>
  <c r="AD54" i="1" s="1"/>
  <c r="AB47" i="1"/>
  <c r="AD47" i="1" s="1"/>
  <c r="AB45" i="1"/>
  <c r="AD45" i="1" s="1"/>
  <c r="AB9" i="1"/>
  <c r="AD9" i="1" s="1"/>
  <c r="Y70" i="1"/>
  <c r="AC70" i="1" s="1"/>
  <c r="Y54" i="1"/>
  <c r="AC54" i="1" s="1"/>
  <c r="Y52" i="1"/>
  <c r="AC52" i="1" s="1"/>
  <c r="Y16" i="1"/>
  <c r="AC16" i="1" s="1"/>
  <c r="Y13" i="1"/>
  <c r="AC13" i="1" s="1"/>
  <c r="AB52" i="1"/>
  <c r="AD52" i="1" s="1"/>
  <c r="AA37" i="1"/>
  <c r="Z38" i="1"/>
  <c r="AA38" i="1"/>
  <c r="AB7" i="1"/>
  <c r="Y47" i="1"/>
  <c r="AC47" i="1" s="1"/>
  <c r="Y45" i="1"/>
  <c r="AC45" i="1" s="1"/>
  <c r="Y41" i="1"/>
  <c r="AC41" i="1" s="1"/>
  <c r="Y34" i="1"/>
  <c r="AC34" i="1" s="1"/>
  <c r="Y29" i="1"/>
  <c r="AC29" i="1" s="1"/>
  <c r="Y9" i="1"/>
  <c r="AC9" i="1" s="1"/>
  <c r="Y7" i="1"/>
  <c r="Z37" i="1"/>
  <c r="Y11" i="1"/>
  <c r="AC11" i="1" s="1"/>
  <c r="Y36" i="1"/>
  <c r="AC36" i="1" s="1"/>
  <c r="Y79" i="1"/>
  <c r="AC79" i="1" s="1"/>
  <c r="AB34" i="1"/>
  <c r="AD34" i="1" s="1"/>
  <c r="AB37" i="1" l="1"/>
  <c r="AD37" i="1" s="1"/>
  <c r="AB38" i="1"/>
  <c r="AA81" i="1"/>
  <c r="Y80" i="1"/>
  <c r="AC80" i="1" s="1"/>
  <c r="Y37" i="1"/>
  <c r="AC37" i="1" s="1"/>
  <c r="Y38" i="1"/>
  <c r="Z81" i="1"/>
  <c r="AB80" i="1"/>
  <c r="AD80" i="1" s="1"/>
  <c r="AB81" i="1" l="1"/>
  <c r="Y81" i="1"/>
  <c r="M42" i="1" l="1"/>
  <c r="L42" i="1" l="1"/>
  <c r="AD6" i="1" l="1"/>
  <c r="AC6" i="1" l="1"/>
  <c r="AC38" i="1"/>
  <c r="AD7" i="1"/>
  <c r="AD38" i="1" l="1"/>
  <c r="AC7" i="1"/>
  <c r="AD81" i="1"/>
  <c r="AC81" i="1"/>
</calcChain>
</file>

<file path=xl/sharedStrings.xml><?xml version="1.0" encoding="utf-8"?>
<sst xmlns="http://schemas.openxmlformats.org/spreadsheetml/2006/main" count="849" uniqueCount="308">
  <si>
    <t>AUM</t>
  </si>
  <si>
    <t>Gross Sales</t>
  </si>
  <si>
    <t>Net Sales</t>
  </si>
  <si>
    <t>ASSET (AMC)</t>
  </si>
  <si>
    <t>Asset Class</t>
  </si>
  <si>
    <t>Kotak</t>
  </si>
  <si>
    <t>Industry</t>
  </si>
  <si>
    <t>MS</t>
  </si>
  <si>
    <t>ARBITRAGE FUND</t>
  </si>
  <si>
    <t>ARBITRAGE FUND Total</t>
  </si>
  <si>
    <t>Equity Savings</t>
  </si>
  <si>
    <t>Equity Savings Fund</t>
  </si>
  <si>
    <t>Equity Savings Total</t>
  </si>
  <si>
    <t>BAAF</t>
  </si>
  <si>
    <t>Dynamic Asset Allocation/Balanced Advantage</t>
  </si>
  <si>
    <t>BAAF Total</t>
  </si>
  <si>
    <t>Balanced</t>
  </si>
  <si>
    <t>Balanced Hybrid Fund/Aggressive Hybrid Fund</t>
  </si>
  <si>
    <t>Balanced Total</t>
  </si>
  <si>
    <t>ELSS</t>
  </si>
  <si>
    <t>ELSS Total</t>
  </si>
  <si>
    <t>Equity</t>
  </si>
  <si>
    <t>Dividend Yield Fund</t>
  </si>
  <si>
    <t>Equity Others (C)</t>
  </si>
  <si>
    <t>Focused Fund</t>
  </si>
  <si>
    <t>Large &amp; Mid Cap Fund</t>
  </si>
  <si>
    <t>Large Cap Fund</t>
  </si>
  <si>
    <t>Mid Cap Fund</t>
  </si>
  <si>
    <t>Multi Cap Fund</t>
  </si>
  <si>
    <t>Sectoral/Thematic Funds</t>
  </si>
  <si>
    <t>Small Cap Fund</t>
  </si>
  <si>
    <t>Value Fund/Contra Fund</t>
  </si>
  <si>
    <t>Equity Total</t>
  </si>
  <si>
    <t>FOF-OVERSEAS</t>
  </si>
  <si>
    <t>Fund of Fund - Overseas</t>
  </si>
  <si>
    <t>FOF-OVERSEAS Total</t>
  </si>
  <si>
    <t>INDEX FUND</t>
  </si>
  <si>
    <t>INDEX FUND Total</t>
  </si>
  <si>
    <t>Solution Oriented</t>
  </si>
  <si>
    <t>Childrens Fund</t>
  </si>
  <si>
    <t>Retirement Fund</t>
  </si>
  <si>
    <t>Solution Oriented Total</t>
  </si>
  <si>
    <t>OTHER ETF</t>
  </si>
  <si>
    <t>OTHER ETF Total</t>
  </si>
  <si>
    <t>Liquid</t>
  </si>
  <si>
    <t>Floater Fund</t>
  </si>
  <si>
    <t>Liquid Fund</t>
  </si>
  <si>
    <t>Overnight Fund</t>
  </si>
  <si>
    <t>Liquid Total</t>
  </si>
  <si>
    <t>GOLD ETF</t>
  </si>
  <si>
    <t>GOLD ETFs</t>
  </si>
  <si>
    <t>FMP</t>
  </si>
  <si>
    <t>Fixed Term Plan</t>
  </si>
  <si>
    <t>FMP Total</t>
  </si>
  <si>
    <t>CAPITAL PROTECT</t>
  </si>
  <si>
    <t>Capital Protection Oriented Schemes</t>
  </si>
  <si>
    <t>CAPITAL PROTECT Total</t>
  </si>
  <si>
    <t>Credit Risk</t>
  </si>
  <si>
    <t>Credit Risk Fund</t>
  </si>
  <si>
    <t>Medium Duration Fund</t>
  </si>
  <si>
    <t>Credit Risk Total</t>
  </si>
  <si>
    <t>Debt Hybrid</t>
  </si>
  <si>
    <t>Conservative Hybrid Fund</t>
  </si>
  <si>
    <t>Multi Asset Allocation</t>
  </si>
  <si>
    <t>Debt Hybrid Total</t>
  </si>
  <si>
    <t>Duration</t>
  </si>
  <si>
    <t>Dynamic Bond Fund</t>
  </si>
  <si>
    <t>Gilt Fund</t>
  </si>
  <si>
    <t>Gilt Fund with 10 year constant duration</t>
  </si>
  <si>
    <t>Income/Debt (Interval)</t>
  </si>
  <si>
    <t>Long Duration Fund</t>
  </si>
  <si>
    <t>Medium to Long Duration Fund</t>
  </si>
  <si>
    <t>Duration Total</t>
  </si>
  <si>
    <t>Other Debt</t>
  </si>
  <si>
    <t>Fund of Fund - Domestic</t>
  </si>
  <si>
    <t>Other Debt (C)</t>
  </si>
  <si>
    <t>Other Debt Total</t>
  </si>
  <si>
    <t>Others</t>
  </si>
  <si>
    <t>Other Schemes (C)</t>
  </si>
  <si>
    <t>Others Total</t>
  </si>
  <si>
    <t>Short Duration</t>
  </si>
  <si>
    <t>Banking and PSU Fund</t>
  </si>
  <si>
    <t>Corporate Bond Fund</t>
  </si>
  <si>
    <t>Short Duration Fund</t>
  </si>
  <si>
    <t>Short Duration Total</t>
  </si>
  <si>
    <t>ULTRA SHORT TERM</t>
  </si>
  <si>
    <t>Low Duration Fund</t>
  </si>
  <si>
    <t>Money Market Fund</t>
  </si>
  <si>
    <t>Ultra Short Duration Fund</t>
  </si>
  <si>
    <t>ULTRA SHORT TERM Total</t>
  </si>
  <si>
    <t>DEBT</t>
  </si>
  <si>
    <t>Total</t>
  </si>
  <si>
    <t>Report includes Amt in crs</t>
  </si>
  <si>
    <t>ELSS(C)</t>
  </si>
  <si>
    <t>PURE EQUITY</t>
  </si>
  <si>
    <t>Flexi Cap Fund</t>
  </si>
  <si>
    <t>MS Movment</t>
  </si>
  <si>
    <t>GS To AUM</t>
  </si>
  <si>
    <t>NS To AUM</t>
  </si>
  <si>
    <t>Arbitrage Fund</t>
  </si>
  <si>
    <t>Index Funds - Equity</t>
  </si>
  <si>
    <t>Index Funds - Debt</t>
  </si>
  <si>
    <t>SCHEME NAME</t>
  </si>
  <si>
    <t>ASSET CLASS</t>
  </si>
  <si>
    <t>SALES MIS PRD GROUP</t>
  </si>
  <si>
    <t>SCHEME MAIN GROUP</t>
  </si>
  <si>
    <t>GROSS SALES</t>
  </si>
  <si>
    <t>NET SALES</t>
  </si>
  <si>
    <t>REDEMPTION</t>
  </si>
  <si>
    <t>MEDIUM TO LONG DURATION FUND</t>
  </si>
  <si>
    <t>DURATION</t>
  </si>
  <si>
    <t>TD</t>
  </si>
  <si>
    <t>GILT FUND</t>
  </si>
  <si>
    <t>K LIQUID (INS)- REGULAR</t>
  </si>
  <si>
    <t>LIQUID FUND</t>
  </si>
  <si>
    <t>LIQUID</t>
  </si>
  <si>
    <t>CASH</t>
  </si>
  <si>
    <t>FUND OF FUND - DOMESTIC</t>
  </si>
  <si>
    <t>FOF-DOMESTIC</t>
  </si>
  <si>
    <t>KOTAK BALANCE ADVANTAGE FUND- DIRECT</t>
  </si>
  <si>
    <t>DYNAMIC ASSET ALLOCATION/BALANCED ADVANTAGE</t>
  </si>
  <si>
    <t>EQUITY</t>
  </si>
  <si>
    <t>KOTAK BALANCE ADVANTAGE FUND- REGULAR</t>
  </si>
  <si>
    <t>KOTAK BANKING ETF- REGULAR</t>
  </si>
  <si>
    <t>OTHER ETFS</t>
  </si>
  <si>
    <t>ETFS</t>
  </si>
  <si>
    <t>KOTAK BANKING AND PSU DEBT FUND- DIRECT</t>
  </si>
  <si>
    <t>BANKING AND PSU FUND</t>
  </si>
  <si>
    <t>SHORT DURATION</t>
  </si>
  <si>
    <t>KOTAK BANKING AND PSU DEBT FUND- REGULAR</t>
  </si>
  <si>
    <t>LARGE CAP FUND</t>
  </si>
  <si>
    <t>SHORT DURATION FUND</t>
  </si>
  <si>
    <t>KOTAK CORPORATE BOND FUND STANDARD - DIRECT</t>
  </si>
  <si>
    <t>CORPORATE BOND FUND</t>
  </si>
  <si>
    <t>KOTAK CORPORATE BOND FUND STANDARD - REGULAR</t>
  </si>
  <si>
    <t>CREDIT RISK FUND</t>
  </si>
  <si>
    <t>CREDIT RISK</t>
  </si>
  <si>
    <t>CONSERVATIVE HYBRID FUND</t>
  </si>
  <si>
    <t>DEBT HYBRID</t>
  </si>
  <si>
    <t>DYNAMIC BOND FUND</t>
  </si>
  <si>
    <t>KOTAK ESG OPPORTUNITIES FUND- DIRECT</t>
  </si>
  <si>
    <t>SECTORAL/THEMATIC FUNDS</t>
  </si>
  <si>
    <t>KOTAK ESG OPPORTUNITIES FUND- REGULAR</t>
  </si>
  <si>
    <t>MID CAP FUND</t>
  </si>
  <si>
    <t>KOTAK EQUITY ARBITRAGE FUND- DIRECT</t>
  </si>
  <si>
    <t>ARBITRAGE</t>
  </si>
  <si>
    <t>KOTAK EQUITY ARBITRAGE FUND- REGULAR</t>
  </si>
  <si>
    <t>KOTAK EQUITY FOF- DIRECT</t>
  </si>
  <si>
    <t>KOTAK EQUITY FOF- REGULAR</t>
  </si>
  <si>
    <t>BALANCED HYBRID FUND/AGGRESSIVE HYBRID FUND</t>
  </si>
  <si>
    <t>BALANCED</t>
  </si>
  <si>
    <t>LARGE &amp; MID CAP FUND</t>
  </si>
  <si>
    <t>KOTAK EQUITY SAVINGS FUND- DIRECT</t>
  </si>
  <si>
    <t>EQUITY SAVINGS FUND</t>
  </si>
  <si>
    <t>EQUITY SAVINGS</t>
  </si>
  <si>
    <t>KOTAK EQUITY SAVINGS FUND- REGULAR</t>
  </si>
  <si>
    <t>KOTAK FMP SERIES 292- DIRECT</t>
  </si>
  <si>
    <t>FIXED TERM PLAN</t>
  </si>
  <si>
    <t>KOTAK FMP SERIES 292- REGULAR</t>
  </si>
  <si>
    <t>FLEXI CAP FUND</t>
  </si>
  <si>
    <t>KOTAK FLOATING RATE FUND- DIRECT</t>
  </si>
  <si>
    <t>FLOATER FUND</t>
  </si>
  <si>
    <t>KOTAK FLOATING RATE FUND- REGULAR</t>
  </si>
  <si>
    <t>KOTAK FOCUSED EQUITY FUND- DIRECT</t>
  </si>
  <si>
    <t>FOCUSED FUND</t>
  </si>
  <si>
    <t>KOTAK FOCUSED EQUITY FUND- REGULAR</t>
  </si>
  <si>
    <t>KOTAK GLOBAL EMERGING MARKET FUND - DIRECT</t>
  </si>
  <si>
    <t>FUND OF FUND - OVERSEAS</t>
  </si>
  <si>
    <t>KOTAK GLOBAL EMERGING MARKET FUND - REGULAR</t>
  </si>
  <si>
    <t>KOTAK GLOBAL INNOVATION FUNDOFFUND- DIRECT</t>
  </si>
  <si>
    <t>KOTAK GLOBAL INNOVATION FUNDOFFUND- REGULAR</t>
  </si>
  <si>
    <t>KOTAK GOLD ETF- REGULAR</t>
  </si>
  <si>
    <t>GOLD ETFS</t>
  </si>
  <si>
    <t>KOTAK GOLD FUND - DIRECT</t>
  </si>
  <si>
    <t>KOTAK GOLD FUND - REGULAR</t>
  </si>
  <si>
    <t>KOTAK IT ETF- REGULAR</t>
  </si>
  <si>
    <t>VALUE FUND/CONTRA FUND</t>
  </si>
  <si>
    <t>KOTAK INDIA GROWTH FUND SERIES 4- DIRECT</t>
  </si>
  <si>
    <t>EQUITY OTHERS (C)</t>
  </si>
  <si>
    <t>KOTAK INDIA GROWTH FUND SERIES 4- REGULAR</t>
  </si>
  <si>
    <t>KOTAK INFRA &amp; ECO FUND STD- DIRECT</t>
  </si>
  <si>
    <t>KOTAK INFRA &amp; ECO FUND STD- REGULAR</t>
  </si>
  <si>
    <t>KOTAK INTERNATIONAL REIT FOF- DIRECT</t>
  </si>
  <si>
    <t>KOTAK INTERNATIONAL REIT FOF- REGULAR</t>
  </si>
  <si>
    <t>KOTAK LOW DURATION FUND STANDARD - DIRECT</t>
  </si>
  <si>
    <t>LOW DURATION FUND</t>
  </si>
  <si>
    <t>KOTAK LOW DURATION FUND STANDARD - REGULAR</t>
  </si>
  <si>
    <t>KOTAK MEDIUM TERM FUND- DIRECT</t>
  </si>
  <si>
    <t>MEDIUM DURATION FUND</t>
  </si>
  <si>
    <t>KOTAK MEDIUM TERM FUND- REGULAR</t>
  </si>
  <si>
    <t>MONEY MARKET FUND</t>
  </si>
  <si>
    <t>KOTAK MULTICAP FUND- DIRECT</t>
  </si>
  <si>
    <t>MULTI CAP FUND</t>
  </si>
  <si>
    <t>KOTAK MULTICAP FUND- REGULAR</t>
  </si>
  <si>
    <t>KOTAK NASDAQ 100 FUND OF FUND- DIRECT</t>
  </si>
  <si>
    <t>KOTAK NASDAQ 100 FUND OF FUND- REGULAR</t>
  </si>
  <si>
    <t>KOTAK NIFTY ALPHA TO ETF- REGULAR</t>
  </si>
  <si>
    <t>KOTAK NV 20 ETF- REGULAR</t>
  </si>
  <si>
    <t>KOTAK NIFTY ETF- REGULAR</t>
  </si>
  <si>
    <t>KOTAK OVERNIGHT FUND- DIRECT</t>
  </si>
  <si>
    <t>OVERNIGHT FUND</t>
  </si>
  <si>
    <t>KOTAK OVERNIGHT FUND- REGULAR</t>
  </si>
  <si>
    <t>KOTAK PSU BANK ETF- REGULAR</t>
  </si>
  <si>
    <t>KOTAK PIONEER FUND- DIRECT</t>
  </si>
  <si>
    <t>KOTAK PIONEER FUND- REGULAR</t>
  </si>
  <si>
    <t>ULTRA SHORT DURATION FUND</t>
  </si>
  <si>
    <t>KOTAK SENSEX ETF- REGULAR</t>
  </si>
  <si>
    <t>SMALL CAP FUND</t>
  </si>
  <si>
    <t>KOTAK UNCLAIM - REDEMPTION AND DIV- DIRECT</t>
  </si>
  <si>
    <t>KOTAK UNCLAIM - REDEMPTION AND DIV- REGULAR</t>
  </si>
  <si>
    <t>Grand Total</t>
  </si>
  <si>
    <t>K 50- DIRECT</t>
  </si>
  <si>
    <t>K 50- REGULAR</t>
  </si>
  <si>
    <t>K BALANCE- DIRECT</t>
  </si>
  <si>
    <t>K BALANCE- REGULAR</t>
  </si>
  <si>
    <t>K BOND (WHO)- DIRECT</t>
  </si>
  <si>
    <t>K BOND (WHO)- REGULAR</t>
  </si>
  <si>
    <t>K BOND - ST- DIRECT</t>
  </si>
  <si>
    <t>K BOND - ST- REGULAR</t>
  </si>
  <si>
    <t>K GILT - INV- DIRECT</t>
  </si>
  <si>
    <t>K GILT - INV- REGULAR</t>
  </si>
  <si>
    <t>K LIQUID (INS-PRE)- DIRECT</t>
  </si>
  <si>
    <t>K LIQUID (INS-PRE)- REGULAR</t>
  </si>
  <si>
    <t>K-FLOATER- DIRECT</t>
  </si>
  <si>
    <t>K-FLOATER- REGULAR</t>
  </si>
  <si>
    <t>KOTAK CLASSIC EQUITY FUND - DIRECT</t>
  </si>
  <si>
    <t>KOTAK CLASSIC EQUITY FUND - REGULAR</t>
  </si>
  <si>
    <t>KOTAK EMERGING EQUITY SCHEME- DIRECT</t>
  </si>
  <si>
    <t>KOTAK EMERGING EQUITY SCHEME- REGULAR</t>
  </si>
  <si>
    <t>KOTAK FMP SERIES 226- DIRECT</t>
  </si>
  <si>
    <t>KOTAK FMP SERIES 226- REGULAR</t>
  </si>
  <si>
    <t>KOTAK FMP SERIES 239- DIRECT</t>
  </si>
  <si>
    <t>KOTAK FMP SERIES 239- REGULAR</t>
  </si>
  <si>
    <t>KOTAK FMP SERIES 243- DIRECT</t>
  </si>
  <si>
    <t>KOTAK FMP SERIES 243- REGULAR</t>
  </si>
  <si>
    <t>KOTAK FMP SERIES 247- DIRECT</t>
  </si>
  <si>
    <t>KOTAK FMP SERIES 247- REGULAR</t>
  </si>
  <si>
    <t>KOTAK FMP SERIES 248- DIRECT</t>
  </si>
  <si>
    <t>KOTAK FMP SERIES 248- REGULAR</t>
  </si>
  <si>
    <t>KOTAK FMP SERIES 250- DIRECT</t>
  </si>
  <si>
    <t>KOTAK FMP SERIES 250- REGULAR</t>
  </si>
  <si>
    <t>KOTAK FMP SERIES 251- DIRECT</t>
  </si>
  <si>
    <t>KOTAK FMP SERIES 251- REGULAR</t>
  </si>
  <si>
    <t>KOTAK FMP SERIES 252- DIRECT</t>
  </si>
  <si>
    <t>KOTAK FMP SERIES 252- REGULAR</t>
  </si>
  <si>
    <t>KOTAK FMP SERIES 253- DIRECT</t>
  </si>
  <si>
    <t>KOTAK FMP SERIES 253- REGULAR</t>
  </si>
  <si>
    <t>KOTAK FMP SERIES 254- DIRECT</t>
  </si>
  <si>
    <t>KOTAK FMP SERIES 254- REGULAR</t>
  </si>
  <si>
    <t>KOTAK FMP SERIES 255- DIRECT</t>
  </si>
  <si>
    <t>KOTAK FMP SERIES 255- REGULAR</t>
  </si>
  <si>
    <t>KOTAK FMP SERIES 256- DIRECT</t>
  </si>
  <si>
    <t>KOTAK FMP SERIES 256- REGULAR</t>
  </si>
  <si>
    <t>KOTAK FMP SERIES 257- DIRECT</t>
  </si>
  <si>
    <t>KOTAK FMP SERIES 257- REGULAR</t>
  </si>
  <si>
    <t>KOTAK FMP SERIES 259- DIRECT</t>
  </si>
  <si>
    <t>KOTAK FMP SERIES 259- REGULAR</t>
  </si>
  <si>
    <t>KOTAK FMP SERIES 261- DIRECT</t>
  </si>
  <si>
    <t>KOTAK FMP SERIES 261- REGULAR</t>
  </si>
  <si>
    <t>KOTAK FMP SERIES 263- DIRECT</t>
  </si>
  <si>
    <t>KOTAK FMP SERIES 263- REGULAR</t>
  </si>
  <si>
    <t>KOTAK FMP SERIES 265- DIRECT</t>
  </si>
  <si>
    <t>KOTAK FMP SERIES 265- REGULAR</t>
  </si>
  <si>
    <t>KOTAK FMP SERIES 267- DIRECT</t>
  </si>
  <si>
    <t>KOTAK FMP SERIES 267- REGULAR</t>
  </si>
  <si>
    <t>KOTAK FLEXI DEBT SCHEME- DIRECT</t>
  </si>
  <si>
    <t>KOTAK FLEXI DEBT SCHEME- REGULAR</t>
  </si>
  <si>
    <t>KOTAK INCOME OPPORTUNITIES FUND- DIRECT</t>
  </si>
  <si>
    <t>KOTAK INCOME OPPORTUNITIES FUND- REGULAR</t>
  </si>
  <si>
    <t>KOTAK MIP FUND- DIRECT</t>
  </si>
  <si>
    <t>KOTAK MIP FUND- REGULAR</t>
  </si>
  <si>
    <t>KOTAK MIDCAP SCHEME- DIRECT</t>
  </si>
  <si>
    <t>KOTAK MIDCAP SCHEME- REGULAR</t>
  </si>
  <si>
    <t>KOTAK MULTI ASSET ALLOCATION FUND- DIRECT</t>
  </si>
  <si>
    <t>OTHER DEBT (C)</t>
  </si>
  <si>
    <t>KOTAK OPPORTUNITIES- DIRECT</t>
  </si>
  <si>
    <t>KOTAK OPPORTUNITIES- REGULAR</t>
  </si>
  <si>
    <t>KOTAK STANDARD MULTICAP FUND- DIRECT</t>
  </si>
  <si>
    <t>KOTAK STANDARD MULTICAP FUND- REGULAR</t>
  </si>
  <si>
    <t>KOTAK TAX SAVER SCHEME- DIRECT</t>
  </si>
  <si>
    <t>KOTAK TAX SAVER SCHEME- REGULAR</t>
  </si>
  <si>
    <t>KOTAK TREASURY ADVANTAGE FUND- DIRECT</t>
  </si>
  <si>
    <t>KOTAK TREASURY ADVANTAGE FUND- REGULAR</t>
  </si>
  <si>
    <t>Other ETFs - Debt</t>
  </si>
  <si>
    <t>Other ETFs - Cash</t>
  </si>
  <si>
    <t>Other ETFs - Equity</t>
  </si>
  <si>
    <t>DEBT ETF Total</t>
  </si>
  <si>
    <t>DEBT ETF</t>
  </si>
  <si>
    <t>AUM (You)</t>
  </si>
  <si>
    <t>AUM (Ind)</t>
  </si>
  <si>
    <t>Sales (You)</t>
  </si>
  <si>
    <t>Sales (Ind)</t>
  </si>
  <si>
    <t>Redemption (You)</t>
  </si>
  <si>
    <t>Redemption (Ind)</t>
  </si>
  <si>
    <t>Switch In (You)</t>
  </si>
  <si>
    <t>Switch In Amount (Ind)</t>
  </si>
  <si>
    <t>Switch Out Amount (You)</t>
  </si>
  <si>
    <t>Switch Out Amount (Ind)</t>
  </si>
  <si>
    <t>G</t>
  </si>
  <si>
    <t>GS</t>
  </si>
  <si>
    <t>R</t>
  </si>
  <si>
    <t>RD</t>
  </si>
  <si>
    <t>N</t>
  </si>
  <si>
    <t>NS</t>
  </si>
  <si>
    <t>Summary-  01ST To 24TH MAY'26</t>
  </si>
  <si>
    <t>Summary-  01ST To 31ST MAY'26</t>
  </si>
  <si>
    <t>Last One Year Trailing Summary- May-25 to Apr-26</t>
  </si>
  <si>
    <t>AUM-May25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</si>
</sst>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rgb="FFE8E8E8"/>
      </right>
      <top/>
      <bottom style="hair">
        <color rgb="FFE8E8E8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10" fontId="5" fillId="0" borderId="1" xfId="2" applyNumberFormat="1" applyFont="1" applyBorder="1"/>
    <xf numFmtId="0" fontId="4" fillId="2" borderId="1" xfId="0" applyFont="1" applyFill="1" applyBorder="1"/>
    <xf numFmtId="10" fontId="4" fillId="2" borderId="1" xfId="2" applyNumberFormat="1" applyFont="1" applyFill="1" applyBorder="1"/>
    <xf numFmtId="0" fontId="3" fillId="3" borderId="1" xfId="0" applyFont="1" applyFill="1" applyBorder="1"/>
    <xf numFmtId="10" fontId="3" fillId="3" borderId="1" xfId="2" applyNumberFormat="1" applyFont="1" applyFill="1" applyBorder="1"/>
    <xf numFmtId="0" fontId="3" fillId="4" borderId="1" xfId="0" applyFont="1" applyFill="1" applyBorder="1"/>
    <xf numFmtId="10" fontId="3" fillId="4" borderId="1" xfId="0" applyNumberFormat="1" applyFont="1" applyFill="1" applyBorder="1"/>
    <xf numFmtId="10" fontId="4" fillId="2" borderId="1" xfId="2" applyNumberFormat="1" applyFont="1" applyFill="1" applyBorder="1" applyAlignment="1">
      <alignment horizontal="right"/>
    </xf>
    <xf numFmtId="10" fontId="5" fillId="0" borderId="1" xfId="2" applyNumberFormat="1" applyFont="1" applyBorder="1" applyAlignment="1">
      <alignment horizontal="right"/>
    </xf>
    <xf numFmtId="10" fontId="3" fillId="3" borderId="1" xfId="2" applyNumberFormat="1" applyFont="1" applyFill="1" applyBorder="1" applyAlignment="1">
      <alignment horizontal="right"/>
    </xf>
    <xf numFmtId="10" fontId="3" fillId="4" borderId="1" xfId="2" applyNumberFormat="1" applyFont="1" applyFill="1" applyBorder="1" applyAlignment="1">
      <alignment horizontal="right"/>
    </xf>
    <xf numFmtId="165" fontId="5" fillId="0" borderId="1" xfId="1" applyNumberFormat="1" applyFont="1" applyBorder="1"/>
    <xf numFmtId="165" fontId="4" fillId="2" borderId="1" xfId="1" applyNumberFormat="1" applyFont="1" applyFill="1" applyBorder="1"/>
    <xf numFmtId="165" fontId="3" fillId="3" borderId="1" xfId="1" applyNumberFormat="1" applyFont="1" applyFill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0" fontId="3" fillId="5" borderId="1" xfId="0" applyFont="1" applyFill="1" applyBorder="1"/>
    <xf numFmtId="0" fontId="5" fillId="6" borderId="0" xfId="0" applyFont="1" applyFill="1"/>
    <xf numFmtId="0" fontId="4" fillId="6" borderId="0" xfId="0" applyFont="1" applyFill="1"/>
    <xf numFmtId="0" fontId="5" fillId="6" borderId="1" xfId="0" applyFont="1" applyFill="1" applyBorder="1"/>
    <xf numFmtId="10" fontId="5" fillId="6" borderId="1" xfId="2" applyNumberFormat="1" applyFont="1" applyFill="1" applyBorder="1" applyAlignment="1">
      <alignment horizontal="right"/>
    </xf>
    <xf numFmtId="10" fontId="5" fillId="6" borderId="1" xfId="2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1" fillId="0" borderId="0" xfId="0" applyFont="1"/>
    <xf numFmtId="0" fontId="7" fillId="0" borderId="1" xfId="0" applyFont="1" applyBorder="1" applyAlignment="1">
      <alignment horizontal="left" vertical="top"/>
    </xf>
    <xf numFmtId="39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top"/>
    </xf>
    <xf numFmtId="39" fontId="6" fillId="0" borderId="1" xfId="0" applyNumberFormat="1" applyFont="1" applyBorder="1" applyAlignment="1">
      <alignment vertical="center"/>
    </xf>
    <xf numFmtId="165" fontId="1" fillId="0" borderId="0" xfId="1" applyNumberFormat="1" applyFont="1"/>
    <xf numFmtId="165" fontId="5" fillId="0" borderId="0" xfId="0" applyNumberFormat="1" applyFont="1"/>
    <xf numFmtId="10" fontId="3" fillId="4" borderId="1" xfId="2" applyNumberFormat="1" applyFont="1" applyFill="1" applyBorder="1"/>
    <xf numFmtId="165" fontId="5" fillId="0" borderId="0" xfId="1" applyNumberFormat="1" applyFont="1"/>
    <xf numFmtId="165" fontId="3" fillId="0" borderId="1" xfId="1" applyNumberFormat="1" applyFont="1" applyBorder="1"/>
    <xf numFmtId="165" fontId="3" fillId="4" borderId="1" xfId="1" applyNumberFormat="1" applyFont="1" applyFill="1" applyBorder="1"/>
    <xf numFmtId="0" fontId="8" fillId="7" borderId="5" xfId="0" applyFont="1" applyFill="1" applyBorder="1" applyAlignment="1">
      <alignment horizontal="left" vertical="top"/>
    </xf>
    <xf numFmtId="0" fontId="8" fillId="7" borderId="5" xfId="0" applyFont="1" applyFill="1" applyBorder="1" applyAlignment="1">
      <alignment horizontal="center" vertical="center"/>
    </xf>
    <xf numFmtId="0" fontId="8" fillId="0" borderId="0" xfId="0" applyFont="1"/>
    <xf numFmtId="0" fontId="8" fillId="7" borderId="5" xfId="0" applyFont="1" applyFill="1" applyBorder="1" applyAlignment="1">
      <alignment horizontal="left" vertical="top" wrapText="1"/>
    </xf>
    <xf numFmtId="164" fontId="8" fillId="0" borderId="0" xfId="1" applyFont="1"/>
    <xf numFmtId="43" fontId="8" fillId="0" borderId="0" xfId="0" applyNumberFormat="1" applyFont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5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9.1796875" defaultRowHeight="13" outlineLevelRow="2" x14ac:dyDescent="0.3"/>
  <cols>
    <col min="1" max="1" width="21.81640625" style="3" bestFit="1" customWidth="1"/>
    <col min="2" max="2" width="38.54296875" style="3" bestFit="1" customWidth="1"/>
    <col min="3" max="3" width="9.54296875" style="36" bestFit="1" customWidth="1"/>
    <col min="4" max="4" width="10.54296875" style="36" bestFit="1" customWidth="1"/>
    <col min="5" max="5" width="6.7265625" style="3" bestFit="1" customWidth="1"/>
    <col min="6" max="6" width="9.54296875" style="36" bestFit="1" customWidth="1"/>
    <col min="7" max="7" width="10.54296875" style="36" bestFit="1" customWidth="1"/>
    <col min="8" max="8" width="7.1796875" style="3" bestFit="1" customWidth="1"/>
    <col min="9" max="9" width="8.7265625" style="36" bestFit="1" customWidth="1"/>
    <col min="10" max="10" width="10.26953125" style="36" bestFit="1" customWidth="1"/>
    <col min="11" max="11" width="10.1796875" style="3" bestFit="1" customWidth="1"/>
    <col min="12" max="13" width="11" style="3" bestFit="1" customWidth="1"/>
    <col min="14" max="14" width="9.54296875" style="3" bestFit="1" customWidth="1"/>
    <col min="15" max="15" width="10.54296875" style="3" bestFit="1" customWidth="1"/>
    <col min="16" max="16" width="7.1796875" style="3" bestFit="1" customWidth="1"/>
    <col min="17" max="17" width="8.7265625" style="3" bestFit="1" customWidth="1"/>
    <col min="18" max="18" width="10.26953125" style="3" bestFit="1" customWidth="1"/>
    <col min="19" max="19" width="10.1796875" style="3" bestFit="1" customWidth="1"/>
    <col min="20" max="20" width="9.54296875" style="3" bestFit="1" customWidth="1"/>
    <col min="21" max="21" width="10.54296875" style="3" bestFit="1" customWidth="1"/>
    <col min="22" max="22" width="8.7265625" style="3" customWidth="1"/>
    <col min="23" max="23" width="10.54296875" style="3" bestFit="1" customWidth="1"/>
    <col min="24" max="24" width="12.1796875" style="3" customWidth="1"/>
    <col min="25" max="26" width="9.1796875" style="3" customWidth="1"/>
    <col min="27" max="27" width="10.26953125" style="3" customWidth="1"/>
    <col min="28" max="28" width="9.1796875" style="3" customWidth="1"/>
    <col min="29" max="30" width="11" style="3" customWidth="1"/>
    <col min="31" max="16384" width="9.1796875" style="3"/>
  </cols>
  <sheetData>
    <row r="1" spans="1:30" x14ac:dyDescent="0.3">
      <c r="A1" s="2" t="s">
        <v>92</v>
      </c>
    </row>
    <row r="3" spans="1:30" s="2" customFormat="1" ht="14.5" x14ac:dyDescent="0.35">
      <c r="A3" s="1"/>
      <c r="B3" s="1"/>
      <c r="C3" s="48" t="s">
        <v>305</v>
      </c>
      <c r="D3" s="49"/>
      <c r="E3" s="49"/>
      <c r="F3" s="49"/>
      <c r="G3" s="49"/>
      <c r="H3" s="49"/>
      <c r="I3" s="49"/>
      <c r="J3" s="49"/>
      <c r="K3" s="49"/>
      <c r="L3" s="49"/>
      <c r="M3" s="50"/>
      <c r="N3" s="48" t="s">
        <v>304</v>
      </c>
      <c r="O3" s="49"/>
      <c r="P3" s="49"/>
      <c r="Q3" s="49"/>
      <c r="R3" s="49"/>
      <c r="S3" s="50"/>
      <c r="T3" s="47" t="s">
        <v>306</v>
      </c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 ht="14.5" x14ac:dyDescent="0.35">
      <c r="A4" s="1"/>
      <c r="B4" s="1"/>
      <c r="C4" s="52" t="s">
        <v>0</v>
      </c>
      <c r="D4" s="52"/>
      <c r="E4" s="52"/>
      <c r="F4" s="48" t="s">
        <v>1</v>
      </c>
      <c r="G4" s="49"/>
      <c r="H4" s="50"/>
      <c r="I4" s="52" t="s">
        <v>2</v>
      </c>
      <c r="J4" s="52"/>
      <c r="K4" s="52"/>
      <c r="L4" s="45" t="s">
        <v>96</v>
      </c>
      <c r="M4" s="46"/>
      <c r="N4" s="48" t="s">
        <v>1</v>
      </c>
      <c r="O4" s="49"/>
      <c r="P4" s="50"/>
      <c r="Q4" s="52" t="s">
        <v>2</v>
      </c>
      <c r="R4" s="52"/>
      <c r="S4" s="52"/>
      <c r="T4" s="45" t="s">
        <v>307</v>
      </c>
      <c r="U4" s="51"/>
      <c r="V4" s="46"/>
      <c r="W4" s="47" t="s">
        <v>1</v>
      </c>
      <c r="X4" s="47"/>
      <c r="Y4" s="47"/>
      <c r="Z4" s="47" t="s">
        <v>2</v>
      </c>
      <c r="AA4" s="47"/>
      <c r="AB4" s="47"/>
      <c r="AC4" s="45" t="s">
        <v>96</v>
      </c>
      <c r="AD4" s="46"/>
    </row>
    <row r="5" spans="1:30" ht="14.5" x14ac:dyDescent="0.35">
      <c r="A5" s="1" t="s">
        <v>3</v>
      </c>
      <c r="B5" s="1" t="s">
        <v>4</v>
      </c>
      <c r="C5" s="37" t="s">
        <v>5</v>
      </c>
      <c r="D5" s="37" t="s">
        <v>6</v>
      </c>
      <c r="E5" s="1" t="s">
        <v>7</v>
      </c>
      <c r="F5" s="37" t="s">
        <v>5</v>
      </c>
      <c r="G5" s="37" t="s">
        <v>6</v>
      </c>
      <c r="H5" s="1" t="s">
        <v>7</v>
      </c>
      <c r="I5" s="37" t="s">
        <v>5</v>
      </c>
      <c r="J5" s="37" t="s">
        <v>6</v>
      </c>
      <c r="K5" s="1" t="s">
        <v>7</v>
      </c>
      <c r="L5" s="21" t="s">
        <v>97</v>
      </c>
      <c r="M5" s="21" t="s">
        <v>98</v>
      </c>
      <c r="N5" s="37" t="s">
        <v>5</v>
      </c>
      <c r="O5" s="37" t="s">
        <v>6</v>
      </c>
      <c r="P5" s="1" t="s">
        <v>7</v>
      </c>
      <c r="Q5" s="37" t="s">
        <v>5</v>
      </c>
      <c r="R5" s="37" t="s">
        <v>6</v>
      </c>
      <c r="S5" s="1" t="s">
        <v>7</v>
      </c>
      <c r="T5" s="21" t="s">
        <v>5</v>
      </c>
      <c r="U5" s="21" t="s">
        <v>6</v>
      </c>
      <c r="V5" s="21" t="s">
        <v>7</v>
      </c>
      <c r="W5" s="21" t="s">
        <v>5</v>
      </c>
      <c r="X5" s="21" t="s">
        <v>6</v>
      </c>
      <c r="Y5" s="21" t="s">
        <v>7</v>
      </c>
      <c r="Z5" s="21" t="s">
        <v>5</v>
      </c>
      <c r="AA5" s="21" t="s">
        <v>6</v>
      </c>
      <c r="AB5" s="21" t="s">
        <v>7</v>
      </c>
      <c r="AC5" s="21" t="s">
        <v>97</v>
      </c>
      <c r="AD5" s="21" t="s">
        <v>98</v>
      </c>
    </row>
    <row r="6" spans="1:30" ht="12.75" hidden="1" customHeight="1" outlineLevel="2" x14ac:dyDescent="0.3">
      <c r="A6" s="4" t="s">
        <v>8</v>
      </c>
      <c r="B6" s="16" t="s">
        <v>99</v>
      </c>
      <c r="C6" s="16">
        <v>72079.6614843196</v>
      </c>
      <c r="D6" s="16">
        <v>289165.09542737401</v>
      </c>
      <c r="E6" s="5">
        <f>IFERROR(C6/D6,)</f>
        <v>0.24926819531170888</v>
      </c>
      <c r="F6" s="16">
        <v>5838.0238874889992</v>
      </c>
      <c r="G6" s="16">
        <v>22546.762765769919</v>
      </c>
      <c r="H6" s="5">
        <f>IFERROR(F6/G6,)</f>
        <v>0.25892958329043048</v>
      </c>
      <c r="I6" s="16">
        <v>1874.6778111709148</v>
      </c>
      <c r="J6" s="16">
        <v>4794.33307135821</v>
      </c>
      <c r="K6" s="13">
        <f t="shared" ref="K6:K41" si="0">IF(AND(I6&gt;0,J6&gt;0),I6/J6,"N.A")</f>
        <v>0.3910195189338041</v>
      </c>
      <c r="L6" s="5">
        <f>H6-E6</f>
        <v>9.6613879787215973E-3</v>
      </c>
      <c r="M6" s="13">
        <f>IF(K6="N.A","N.A",K6-E6)</f>
        <v>0.14175132362209522</v>
      </c>
      <c r="N6" s="16">
        <v>4887.9075970500007</v>
      </c>
      <c r="O6" s="16">
        <v>18222.896313200428</v>
      </c>
      <c r="P6" s="5">
        <f>IFERROR(N6/O6,)</f>
        <v>0.26822890900768964</v>
      </c>
      <c r="Q6" s="16">
        <v>1642.8025482692351</v>
      </c>
      <c r="R6" s="16">
        <v>4646.3139670999599</v>
      </c>
      <c r="S6" s="13">
        <f t="shared" ref="S6:S69" si="1">IF(AND(Q6&gt;0,R6&gt;0),Q6/R6,"N.A")</f>
        <v>0.35357114476157658</v>
      </c>
      <c r="T6" s="16">
        <v>67364.726322747607</v>
      </c>
      <c r="U6" s="16">
        <v>253727.39595967199</v>
      </c>
      <c r="V6" s="5">
        <f>IFERROR(T6/U6,)</f>
        <v>0.26550040474720638</v>
      </c>
      <c r="W6" s="16">
        <v>56898.488068605016</v>
      </c>
      <c r="X6" s="16">
        <v>293966.78380308743</v>
      </c>
      <c r="Y6" s="5">
        <f>IFERROR(W6/X6,)</f>
        <v>0.19355414013958211</v>
      </c>
      <c r="Z6" s="16">
        <v>2388.0581285160256</v>
      </c>
      <c r="AA6" s="16">
        <v>43867.42996777573</v>
      </c>
      <c r="AB6" s="13">
        <f t="shared" ref="AB6:AB73" si="2">IF(AND(Z6&gt;0,AA6&gt;0),Z6/AA6,"N.A")</f>
        <v>5.443806783917482E-2</v>
      </c>
      <c r="AC6" s="5">
        <f>Y6-V6</f>
        <v>-7.1946264607624266E-2</v>
      </c>
      <c r="AD6" s="13">
        <f>IF(AB6="N.A","N.A",AB6-V6)</f>
        <v>-0.21106233690803156</v>
      </c>
    </row>
    <row r="7" spans="1:30" outlineLevel="1" collapsed="1" x14ac:dyDescent="0.3">
      <c r="A7" s="6" t="s">
        <v>9</v>
      </c>
      <c r="B7" s="6"/>
      <c r="C7" s="17">
        <f>C6</f>
        <v>72079.6614843196</v>
      </c>
      <c r="D7" s="17">
        <f>D6</f>
        <v>289165.09542737401</v>
      </c>
      <c r="E7" s="7">
        <f t="shared" ref="E7:E44" si="3">IFERROR(C7/D7,)</f>
        <v>0.24926819531170888</v>
      </c>
      <c r="F7" s="17">
        <f>F6</f>
        <v>5838.0238874889992</v>
      </c>
      <c r="G7" s="17">
        <f>G6</f>
        <v>22546.762765769919</v>
      </c>
      <c r="H7" s="7">
        <f t="shared" ref="H7:H44" si="4">IFERROR(F7/G7,)</f>
        <v>0.25892958329043048</v>
      </c>
      <c r="I7" s="17">
        <f>I6</f>
        <v>1874.6778111709148</v>
      </c>
      <c r="J7" s="17">
        <f>J6</f>
        <v>4794.33307135821</v>
      </c>
      <c r="K7" s="12">
        <f t="shared" si="0"/>
        <v>0.3910195189338041</v>
      </c>
      <c r="L7" s="12">
        <f t="shared" ref="L7:L41" si="5">H7-E7</f>
        <v>9.6613879787215973E-3</v>
      </c>
      <c r="M7" s="12">
        <f t="shared" ref="M7:M41" si="6">IF(K7="N.A","N.A",K7-E7)</f>
        <v>0.14175132362209522</v>
      </c>
      <c r="N7" s="17">
        <f>N6</f>
        <v>4887.9075970500007</v>
      </c>
      <c r="O7" s="17">
        <f>O6</f>
        <v>18222.896313200428</v>
      </c>
      <c r="P7" s="7">
        <f t="shared" ref="P7" si="7">IFERROR(N7/O7,)</f>
        <v>0.26822890900768964</v>
      </c>
      <c r="Q7" s="17">
        <f>Q6</f>
        <v>1642.8025482692351</v>
      </c>
      <c r="R7" s="17">
        <f>R6</f>
        <v>4646.3139670999599</v>
      </c>
      <c r="S7" s="12">
        <f t="shared" si="1"/>
        <v>0.35357114476157658</v>
      </c>
      <c r="T7" s="17">
        <f>T6</f>
        <v>67364.726322747607</v>
      </c>
      <c r="U7" s="17">
        <f>U6</f>
        <v>253727.39595967199</v>
      </c>
      <c r="V7" s="7">
        <f t="shared" ref="V7:V66" si="8">IFERROR(T7/U7,)</f>
        <v>0.26550040474720638</v>
      </c>
      <c r="W7" s="17">
        <f>W6</f>
        <v>56898.488068605016</v>
      </c>
      <c r="X7" s="17">
        <f>X6</f>
        <v>293966.78380308743</v>
      </c>
      <c r="Y7" s="7">
        <f t="shared" ref="Y7:Y66" si="9">IFERROR(W7/X7,)</f>
        <v>0.19355414013958211</v>
      </c>
      <c r="Z7" s="17">
        <f>Z6</f>
        <v>2388.0581285160256</v>
      </c>
      <c r="AA7" s="17">
        <f>AA6</f>
        <v>43867.42996777573</v>
      </c>
      <c r="AB7" s="12">
        <f t="shared" si="2"/>
        <v>5.443806783917482E-2</v>
      </c>
      <c r="AC7" s="12">
        <f t="shared" ref="AC7:AC74" si="10">Y7-V7</f>
        <v>-7.1946264607624266E-2</v>
      </c>
      <c r="AD7" s="12">
        <f t="shared" ref="AD7:AD74" si="11">IF(AB7="N.A","N.A",AB7-V7)</f>
        <v>-0.21106233690803156</v>
      </c>
    </row>
    <row r="8" spans="1:30" ht="12.75" hidden="1" customHeight="1" outlineLevel="2" x14ac:dyDescent="0.3">
      <c r="A8" s="4" t="s">
        <v>10</v>
      </c>
      <c r="B8" s="4" t="s">
        <v>11</v>
      </c>
      <c r="C8" s="16">
        <v>10108.1263737883</v>
      </c>
      <c r="D8" s="16">
        <v>48994.910898386603</v>
      </c>
      <c r="E8" s="5">
        <f>IFERROR(C8/D8,)</f>
        <v>0.20630972050856733</v>
      </c>
      <c r="F8" s="16">
        <v>241.930840958</v>
      </c>
      <c r="G8" s="16">
        <v>1200.0993952711151</v>
      </c>
      <c r="H8" s="5">
        <f>IFERROR(F8/G8,)</f>
        <v>0.20159233636089391</v>
      </c>
      <c r="I8" s="16">
        <v>115.41478649252841</v>
      </c>
      <c r="J8" s="16">
        <v>88.968777075915099</v>
      </c>
      <c r="K8" s="13">
        <f t="shared" ref="K8" si="12">IF(AND(I8&gt;0,J8&gt;0),I8/J8,"N.A")</f>
        <v>1.2972504544380499</v>
      </c>
      <c r="L8" s="13">
        <f t="shared" si="5"/>
        <v>-4.7173841476734202E-3</v>
      </c>
      <c r="M8" s="13">
        <f t="shared" si="6"/>
        <v>1.0909407339294825</v>
      </c>
      <c r="N8" s="16">
        <v>194.38906886699999</v>
      </c>
      <c r="O8" s="16">
        <v>989.18809453840993</v>
      </c>
      <c r="P8" s="5">
        <f>IFERROR(N8/O8,)</f>
        <v>0.19651375702990925</v>
      </c>
      <c r="Q8" s="16">
        <v>89.443118948861994</v>
      </c>
      <c r="R8" s="16">
        <v>100.19395206724293</v>
      </c>
      <c r="S8" s="13">
        <f t="shared" si="1"/>
        <v>0.89269977981140258</v>
      </c>
      <c r="T8" s="16">
        <v>8254.1991678642007</v>
      </c>
      <c r="U8" s="16">
        <v>45082.337216858003</v>
      </c>
      <c r="V8" s="5">
        <f t="shared" si="8"/>
        <v>0.18309164247983223</v>
      </c>
      <c r="W8" s="16">
        <v>3634.6023701930098</v>
      </c>
      <c r="X8" s="16">
        <v>27708.566590241513</v>
      </c>
      <c r="Y8" s="5">
        <f t="shared" si="9"/>
        <v>0.1311725151265333</v>
      </c>
      <c r="Z8" s="16">
        <v>1279.4372217990119</v>
      </c>
      <c r="AA8" s="16">
        <v>7370.583575726896</v>
      </c>
      <c r="AB8" s="13">
        <f t="shared" si="2"/>
        <v>0.17358696345463151</v>
      </c>
      <c r="AC8" s="13">
        <f t="shared" si="10"/>
        <v>-5.1919127353298927E-2</v>
      </c>
      <c r="AD8" s="13">
        <f t="shared" si="11"/>
        <v>-9.5046790252007185E-3</v>
      </c>
    </row>
    <row r="9" spans="1:30" outlineLevel="1" collapsed="1" x14ac:dyDescent="0.3">
      <c r="A9" s="6" t="s">
        <v>12</v>
      </c>
      <c r="B9" s="6"/>
      <c r="C9" s="17">
        <f>C8</f>
        <v>10108.1263737883</v>
      </c>
      <c r="D9" s="17">
        <f>D8</f>
        <v>48994.910898386603</v>
      </c>
      <c r="E9" s="7">
        <f t="shared" si="3"/>
        <v>0.20630972050856733</v>
      </c>
      <c r="F9" s="17">
        <f>F8</f>
        <v>241.930840958</v>
      </c>
      <c r="G9" s="17">
        <f>G8</f>
        <v>1200.0993952711151</v>
      </c>
      <c r="H9" s="7">
        <f t="shared" si="4"/>
        <v>0.20159233636089391</v>
      </c>
      <c r="I9" s="17">
        <f>I8</f>
        <v>115.41478649252841</v>
      </c>
      <c r="J9" s="17">
        <f>J8</f>
        <v>88.968777075915099</v>
      </c>
      <c r="K9" s="12">
        <f t="shared" si="0"/>
        <v>1.2972504544380499</v>
      </c>
      <c r="L9" s="12">
        <f t="shared" si="5"/>
        <v>-4.7173841476734202E-3</v>
      </c>
      <c r="M9" s="12">
        <f t="shared" si="6"/>
        <v>1.0909407339294825</v>
      </c>
      <c r="N9" s="17">
        <f>N8</f>
        <v>194.38906886699999</v>
      </c>
      <c r="O9" s="17">
        <f>O8</f>
        <v>989.18809453840993</v>
      </c>
      <c r="P9" s="7">
        <f t="shared" ref="P9" si="13">IFERROR(N9/O9,)</f>
        <v>0.19651375702990925</v>
      </c>
      <c r="Q9" s="17">
        <f>Q8</f>
        <v>89.443118948861994</v>
      </c>
      <c r="R9" s="17">
        <f>R8</f>
        <v>100.19395206724293</v>
      </c>
      <c r="S9" s="12">
        <f t="shared" si="1"/>
        <v>0.89269977981140258</v>
      </c>
      <c r="T9" s="17">
        <f>T8</f>
        <v>8254.1991678642007</v>
      </c>
      <c r="U9" s="17">
        <f>U8</f>
        <v>45082.337216858003</v>
      </c>
      <c r="V9" s="7">
        <f t="shared" si="8"/>
        <v>0.18309164247983223</v>
      </c>
      <c r="W9" s="17">
        <f>W8</f>
        <v>3634.6023701930098</v>
      </c>
      <c r="X9" s="17">
        <f>X8</f>
        <v>27708.566590241513</v>
      </c>
      <c r="Y9" s="7">
        <f t="shared" si="9"/>
        <v>0.1311725151265333</v>
      </c>
      <c r="Z9" s="17">
        <f>Z8</f>
        <v>1279.4372217990119</v>
      </c>
      <c r="AA9" s="17">
        <f>AA8</f>
        <v>7370.583575726896</v>
      </c>
      <c r="AB9" s="12">
        <f t="shared" si="2"/>
        <v>0.17358696345463151</v>
      </c>
      <c r="AC9" s="12">
        <f t="shared" si="10"/>
        <v>-5.1919127353298927E-2</v>
      </c>
      <c r="AD9" s="12">
        <f t="shared" si="11"/>
        <v>-9.5046790252007185E-3</v>
      </c>
    </row>
    <row r="10" spans="1:30" ht="12.75" hidden="1" customHeight="1" outlineLevel="2" x14ac:dyDescent="0.3">
      <c r="A10" s="4" t="s">
        <v>13</v>
      </c>
      <c r="B10" s="4" t="s">
        <v>14</v>
      </c>
      <c r="C10" s="16">
        <v>17112.360839113499</v>
      </c>
      <c r="D10" s="16">
        <v>297715.76668175001</v>
      </c>
      <c r="E10" s="5">
        <f>IFERROR(C10/D10,)</f>
        <v>5.7478853168720964E-2</v>
      </c>
      <c r="F10" s="16">
        <v>78.536378825</v>
      </c>
      <c r="G10" s="16">
        <v>3016.1629875052581</v>
      </c>
      <c r="H10" s="5">
        <f>IFERROR(F10/G10,)</f>
        <v>2.603850625789933E-2</v>
      </c>
      <c r="I10" s="16">
        <v>-72.372488446206191</v>
      </c>
      <c r="J10" s="16">
        <v>190.86627390062603</v>
      </c>
      <c r="K10" s="13" t="str">
        <f t="shared" ref="K10" si="14">IF(AND(I10&gt;0,J10&gt;0),I10/J10,"N.A")</f>
        <v>N.A</v>
      </c>
      <c r="L10" s="13">
        <f t="shared" si="5"/>
        <v>-3.1440346910821634E-2</v>
      </c>
      <c r="M10" s="13" t="str">
        <f t="shared" si="6"/>
        <v>N.A</v>
      </c>
      <c r="N10" s="16">
        <v>64.335609825999995</v>
      </c>
      <c r="O10" s="16">
        <v>2484.6237042390881</v>
      </c>
      <c r="P10" s="5">
        <f>IFERROR(N10/O10,)</f>
        <v>2.5893502390818841E-2</v>
      </c>
      <c r="Q10" s="16">
        <v>-42.786189245225899</v>
      </c>
      <c r="R10" s="16">
        <v>227.59667082120811</v>
      </c>
      <c r="S10" s="13" t="str">
        <f t="shared" si="1"/>
        <v>N.A</v>
      </c>
      <c r="T10" s="16">
        <v>17343.048369706801</v>
      </c>
      <c r="U10" s="16">
        <v>297697.68241075799</v>
      </c>
      <c r="V10" s="5">
        <f t="shared" si="8"/>
        <v>5.8257250205183561E-2</v>
      </c>
      <c r="W10" s="16">
        <v>1896.3407187130399</v>
      </c>
      <c r="X10" s="16">
        <v>57354.244360587603</v>
      </c>
      <c r="Y10" s="5">
        <f t="shared" si="9"/>
        <v>3.3063650996614957E-2</v>
      </c>
      <c r="Z10" s="16">
        <v>-265.40670497587683</v>
      </c>
      <c r="AA10" s="16">
        <v>18242.842961061047</v>
      </c>
      <c r="AB10" s="13" t="str">
        <f t="shared" si="2"/>
        <v>N.A</v>
      </c>
      <c r="AC10" s="13">
        <f t="shared" si="10"/>
        <v>-2.5193599208568604E-2</v>
      </c>
      <c r="AD10" s="13" t="str">
        <f t="shared" si="11"/>
        <v>N.A</v>
      </c>
    </row>
    <row r="11" spans="1:30" outlineLevel="1" collapsed="1" x14ac:dyDescent="0.3">
      <c r="A11" s="6" t="s">
        <v>15</v>
      </c>
      <c r="B11" s="6"/>
      <c r="C11" s="17">
        <f>C10</f>
        <v>17112.360839113499</v>
      </c>
      <c r="D11" s="17">
        <f>D10</f>
        <v>297715.76668175001</v>
      </c>
      <c r="E11" s="7">
        <f t="shared" si="3"/>
        <v>5.7478853168720964E-2</v>
      </c>
      <c r="F11" s="17">
        <f>F10</f>
        <v>78.536378825</v>
      </c>
      <c r="G11" s="17">
        <f>G10</f>
        <v>3016.1629875052581</v>
      </c>
      <c r="H11" s="7">
        <f t="shared" si="4"/>
        <v>2.603850625789933E-2</v>
      </c>
      <c r="I11" s="17">
        <f>I10</f>
        <v>-72.372488446206191</v>
      </c>
      <c r="J11" s="17">
        <f>J10</f>
        <v>190.86627390062603</v>
      </c>
      <c r="K11" s="12" t="str">
        <f t="shared" si="0"/>
        <v>N.A</v>
      </c>
      <c r="L11" s="12">
        <f t="shared" si="5"/>
        <v>-3.1440346910821634E-2</v>
      </c>
      <c r="M11" s="12" t="str">
        <f t="shared" si="6"/>
        <v>N.A</v>
      </c>
      <c r="N11" s="17">
        <f>N10</f>
        <v>64.335609825999995</v>
      </c>
      <c r="O11" s="17">
        <f>O10</f>
        <v>2484.6237042390881</v>
      </c>
      <c r="P11" s="7">
        <f t="shared" ref="P11" si="15">IFERROR(N11/O11,)</f>
        <v>2.5893502390818841E-2</v>
      </c>
      <c r="Q11" s="17">
        <f>Q10</f>
        <v>-42.786189245225899</v>
      </c>
      <c r="R11" s="17">
        <f>R10</f>
        <v>227.59667082120811</v>
      </c>
      <c r="S11" s="12" t="str">
        <f t="shared" si="1"/>
        <v>N.A</v>
      </c>
      <c r="T11" s="17">
        <f>T10</f>
        <v>17343.048369706801</v>
      </c>
      <c r="U11" s="17">
        <f>U10</f>
        <v>297697.68241075799</v>
      </c>
      <c r="V11" s="7">
        <f t="shared" si="8"/>
        <v>5.8257250205183561E-2</v>
      </c>
      <c r="W11" s="17">
        <f>W10</f>
        <v>1896.3407187130399</v>
      </c>
      <c r="X11" s="17">
        <f>X10</f>
        <v>57354.244360587603</v>
      </c>
      <c r="Y11" s="7">
        <f t="shared" si="9"/>
        <v>3.3063650996614957E-2</v>
      </c>
      <c r="Z11" s="17">
        <f>Z10</f>
        <v>-265.40670497587683</v>
      </c>
      <c r="AA11" s="17">
        <f>AA10</f>
        <v>18242.842961061047</v>
      </c>
      <c r="AB11" s="12" t="str">
        <f t="shared" si="2"/>
        <v>N.A</v>
      </c>
      <c r="AC11" s="12">
        <f t="shared" si="10"/>
        <v>-2.5193599208568604E-2</v>
      </c>
      <c r="AD11" s="12" t="str">
        <f t="shared" si="11"/>
        <v>N.A</v>
      </c>
    </row>
    <row r="12" spans="1:30" ht="12.75" hidden="1" customHeight="1" outlineLevel="2" x14ac:dyDescent="0.3">
      <c r="A12" s="4" t="s">
        <v>16</v>
      </c>
      <c r="B12" s="4" t="s">
        <v>17</v>
      </c>
      <c r="C12" s="16">
        <v>8670.2227000639796</v>
      </c>
      <c r="D12" s="16">
        <v>210479.05765750201</v>
      </c>
      <c r="E12" s="5">
        <f>IFERROR(C12/D12,)</f>
        <v>4.1192804626541193E-2</v>
      </c>
      <c r="F12" s="16">
        <v>115.54494760200001</v>
      </c>
      <c r="G12" s="16">
        <v>2134.3231098313809</v>
      </c>
      <c r="H12" s="5">
        <f>IFERROR(F12/G12,)</f>
        <v>5.413657710482668E-2</v>
      </c>
      <c r="I12" s="16">
        <v>56.496016004631038</v>
      </c>
      <c r="J12" s="16">
        <v>273.84030184232017</v>
      </c>
      <c r="K12" s="13">
        <f t="shared" ref="K12" si="16">IF(AND(I12&gt;0,J12&gt;0),I12/J12,"N.A")</f>
        <v>0.20631008520127173</v>
      </c>
      <c r="L12" s="13">
        <f t="shared" si="5"/>
        <v>1.2943772478285487E-2</v>
      </c>
      <c r="M12" s="13">
        <f t="shared" si="6"/>
        <v>0.16511728057473052</v>
      </c>
      <c r="N12" s="16">
        <v>93.430978944999993</v>
      </c>
      <c r="O12" s="16">
        <v>1790.598106012382</v>
      </c>
      <c r="P12" s="5">
        <f>IFERROR(N12/O12,)</f>
        <v>5.2178642784934295E-2</v>
      </c>
      <c r="Q12" s="16">
        <v>45.965315384612722</v>
      </c>
      <c r="R12" s="16">
        <v>310.80533345751996</v>
      </c>
      <c r="S12" s="13">
        <f t="shared" si="1"/>
        <v>0.14789101227214024</v>
      </c>
      <c r="T12" s="16">
        <v>7413.5687762604102</v>
      </c>
      <c r="U12" s="16">
        <v>227850.29544879301</v>
      </c>
      <c r="V12" s="5">
        <f t="shared" si="8"/>
        <v>3.2537016296854147E-2</v>
      </c>
      <c r="W12" s="16">
        <v>1805.6592156460231</v>
      </c>
      <c r="X12" s="16">
        <v>41635.561794597736</v>
      </c>
      <c r="Y12" s="5">
        <f t="shared" si="9"/>
        <v>4.3368196268227362E-2</v>
      </c>
      <c r="Z12" s="16">
        <v>1040.0730634990027</v>
      </c>
      <c r="AA12" s="16">
        <v>17461.487837528693</v>
      </c>
      <c r="AB12" s="13">
        <f t="shared" si="2"/>
        <v>5.9563828304690626E-2</v>
      </c>
      <c r="AC12" s="13">
        <f t="shared" si="10"/>
        <v>1.0831179971373214E-2</v>
      </c>
      <c r="AD12" s="13">
        <f t="shared" si="11"/>
        <v>2.7026812007836479E-2</v>
      </c>
    </row>
    <row r="13" spans="1:30" outlineLevel="1" collapsed="1" x14ac:dyDescent="0.3">
      <c r="A13" s="6" t="s">
        <v>18</v>
      </c>
      <c r="B13" s="6"/>
      <c r="C13" s="17">
        <f>C12</f>
        <v>8670.2227000639796</v>
      </c>
      <c r="D13" s="17">
        <f>D12</f>
        <v>210479.05765750201</v>
      </c>
      <c r="E13" s="7">
        <f t="shared" si="3"/>
        <v>4.1192804626541193E-2</v>
      </c>
      <c r="F13" s="17">
        <f>F12</f>
        <v>115.54494760200001</v>
      </c>
      <c r="G13" s="17">
        <f>G12</f>
        <v>2134.3231098313809</v>
      </c>
      <c r="H13" s="7">
        <f t="shared" si="4"/>
        <v>5.413657710482668E-2</v>
      </c>
      <c r="I13" s="17">
        <f>I12</f>
        <v>56.496016004631038</v>
      </c>
      <c r="J13" s="17">
        <f>J12</f>
        <v>273.84030184232017</v>
      </c>
      <c r="K13" s="12">
        <f t="shared" si="0"/>
        <v>0.20631008520127173</v>
      </c>
      <c r="L13" s="12">
        <f t="shared" si="5"/>
        <v>1.2943772478285487E-2</v>
      </c>
      <c r="M13" s="12">
        <f t="shared" si="6"/>
        <v>0.16511728057473052</v>
      </c>
      <c r="N13" s="17">
        <f>N12</f>
        <v>93.430978944999993</v>
      </c>
      <c r="O13" s="17">
        <f>O12</f>
        <v>1790.598106012382</v>
      </c>
      <c r="P13" s="7">
        <f t="shared" ref="P13:P29" si="17">IFERROR(N13/O13,)</f>
        <v>5.2178642784934295E-2</v>
      </c>
      <c r="Q13" s="17">
        <f>Q12</f>
        <v>45.965315384612722</v>
      </c>
      <c r="R13" s="17">
        <f>R12</f>
        <v>310.80533345751996</v>
      </c>
      <c r="S13" s="12">
        <f t="shared" si="1"/>
        <v>0.14789101227214024</v>
      </c>
      <c r="T13" s="17">
        <f>T12</f>
        <v>7413.5687762604102</v>
      </c>
      <c r="U13" s="17">
        <f>U12</f>
        <v>227850.29544879301</v>
      </c>
      <c r="V13" s="7">
        <f t="shared" si="8"/>
        <v>3.2537016296854147E-2</v>
      </c>
      <c r="W13" s="17">
        <f>W12</f>
        <v>1805.6592156460231</v>
      </c>
      <c r="X13" s="17">
        <f>X12</f>
        <v>41635.561794597736</v>
      </c>
      <c r="Y13" s="7">
        <f t="shared" si="9"/>
        <v>4.3368196268227362E-2</v>
      </c>
      <c r="Z13" s="17">
        <f>Z12</f>
        <v>1040.0730634990027</v>
      </c>
      <c r="AA13" s="17">
        <f>AA12</f>
        <v>17461.487837528693</v>
      </c>
      <c r="AB13" s="12">
        <f t="shared" si="2"/>
        <v>5.9563828304690626E-2</v>
      </c>
      <c r="AC13" s="12">
        <f t="shared" si="10"/>
        <v>1.0831179971373214E-2</v>
      </c>
      <c r="AD13" s="12">
        <f t="shared" si="11"/>
        <v>2.7026812007836479E-2</v>
      </c>
    </row>
    <row r="14" spans="1:30" ht="12.75" hidden="1" customHeight="1" outlineLevel="2" x14ac:dyDescent="0.3">
      <c r="A14" s="4" t="s">
        <v>19</v>
      </c>
      <c r="B14" s="4" t="s">
        <v>19</v>
      </c>
      <c r="C14" s="16">
        <v>6020.6742619850102</v>
      </c>
      <c r="D14" s="16">
        <v>178859.04921233898</v>
      </c>
      <c r="E14" s="5">
        <f>IFERROR(C14/D14,)</f>
        <v>3.366155801732653E-2</v>
      </c>
      <c r="F14" s="16">
        <v>30.317763489999997</v>
      </c>
      <c r="G14" s="16">
        <v>801.60191509881736</v>
      </c>
      <c r="H14" s="5">
        <f>IFERROR(F14/G14,)</f>
        <v>3.7821470880920464E-2</v>
      </c>
      <c r="I14" s="16">
        <v>-15.819721313964164</v>
      </c>
      <c r="J14" s="16">
        <v>-461.97041920231555</v>
      </c>
      <c r="K14" s="13" t="str">
        <f t="shared" ref="K14:K15" si="18">IF(AND(I14&gt;0,J14&gt;0),I14/J14,"N.A")</f>
        <v>N.A</v>
      </c>
      <c r="L14" s="13">
        <f t="shared" si="5"/>
        <v>4.1599128635939342E-3</v>
      </c>
      <c r="M14" s="13" t="str">
        <f t="shared" si="6"/>
        <v>N.A</v>
      </c>
      <c r="N14" s="16">
        <v>25.971079385000003</v>
      </c>
      <c r="O14" s="16">
        <v>685.68034688081741</v>
      </c>
      <c r="P14" s="5">
        <f t="shared" si="17"/>
        <v>3.7876365427627179E-2</v>
      </c>
      <c r="Q14" s="16">
        <v>-9.5422800910126675</v>
      </c>
      <c r="R14" s="16">
        <v>-296.56394982234059</v>
      </c>
      <c r="S14" s="13" t="str">
        <f t="shared" si="1"/>
        <v>N.A</v>
      </c>
      <c r="T14" s="16">
        <v>6266.6600601865703</v>
      </c>
      <c r="U14" s="16">
        <v>232446.12135077201</v>
      </c>
      <c r="V14" s="5">
        <f t="shared" si="8"/>
        <v>2.6959624121797622E-2</v>
      </c>
      <c r="W14" s="16">
        <v>458.79637909998746</v>
      </c>
      <c r="X14" s="16">
        <v>15845.017606831188</v>
      </c>
      <c r="Y14" s="5">
        <f t="shared" si="9"/>
        <v>2.8955245774052576E-2</v>
      </c>
      <c r="Z14" s="16">
        <v>-86.122284532998819</v>
      </c>
      <c r="AA14" s="16">
        <v>-6438.6066330631911</v>
      </c>
      <c r="AB14" s="13" t="str">
        <f t="shared" si="2"/>
        <v>N.A</v>
      </c>
      <c r="AC14" s="13">
        <f t="shared" si="10"/>
        <v>1.9956216522549544E-3</v>
      </c>
      <c r="AD14" s="13" t="str">
        <f t="shared" si="11"/>
        <v>N.A</v>
      </c>
    </row>
    <row r="15" spans="1:30" ht="12.75" hidden="1" customHeight="1" outlineLevel="2" x14ac:dyDescent="0.3">
      <c r="A15" s="4"/>
      <c r="B15" s="4" t="s">
        <v>93</v>
      </c>
      <c r="C15" s="16">
        <v>0</v>
      </c>
      <c r="D15" s="16">
        <v>1235.7096423482801</v>
      </c>
      <c r="E15" s="5">
        <f>IFERROR(C15/D15,)</f>
        <v>0</v>
      </c>
      <c r="F15" s="16">
        <v>0</v>
      </c>
      <c r="G15" s="16">
        <v>3.7488744970000005</v>
      </c>
      <c r="H15" s="5">
        <f>IFERROR(F15/G15,)</f>
        <v>0</v>
      </c>
      <c r="I15" s="16">
        <v>0</v>
      </c>
      <c r="J15" s="16">
        <v>-4.0243620809999996</v>
      </c>
      <c r="K15" s="13" t="str">
        <f t="shared" si="18"/>
        <v>N.A</v>
      </c>
      <c r="L15" s="13">
        <f t="shared" si="5"/>
        <v>0</v>
      </c>
      <c r="M15" s="13" t="str">
        <f t="shared" si="6"/>
        <v>N.A</v>
      </c>
      <c r="N15" s="16">
        <v>0</v>
      </c>
      <c r="O15" s="16">
        <v>2.211619427</v>
      </c>
      <c r="P15" s="5">
        <f t="shared" si="17"/>
        <v>0</v>
      </c>
      <c r="Q15" s="16">
        <v>0</v>
      </c>
      <c r="R15" s="16">
        <v>-2.728276546</v>
      </c>
      <c r="S15" s="13" t="str">
        <f t="shared" si="1"/>
        <v>N.A</v>
      </c>
      <c r="T15" s="16">
        <v>0</v>
      </c>
      <c r="U15" s="16">
        <v>1597.9530428783</v>
      </c>
      <c r="V15" s="5">
        <f t="shared" si="8"/>
        <v>0</v>
      </c>
      <c r="W15" s="16">
        <v>0</v>
      </c>
      <c r="X15" s="16">
        <v>45.660146247999855</v>
      </c>
      <c r="Y15" s="5">
        <f t="shared" si="9"/>
        <v>0</v>
      </c>
      <c r="Z15" s="16">
        <v>0</v>
      </c>
      <c r="AA15" s="16">
        <v>-146.8360165940002</v>
      </c>
      <c r="AB15" s="13" t="str">
        <f t="shared" si="2"/>
        <v>N.A</v>
      </c>
      <c r="AC15" s="13">
        <f t="shared" si="10"/>
        <v>0</v>
      </c>
      <c r="AD15" s="13" t="str">
        <f t="shared" si="11"/>
        <v>N.A</v>
      </c>
    </row>
    <row r="16" spans="1:30" outlineLevel="1" collapsed="1" x14ac:dyDescent="0.3">
      <c r="A16" s="6" t="s">
        <v>20</v>
      </c>
      <c r="B16" s="6"/>
      <c r="C16" s="17">
        <f>SUM(C14:C15)</f>
        <v>6020.6742619850102</v>
      </c>
      <c r="D16" s="17">
        <f>SUM(D14:D15)</f>
        <v>180094.75885468727</v>
      </c>
      <c r="E16" s="7">
        <f t="shared" si="3"/>
        <v>3.3430591208058975E-2</v>
      </c>
      <c r="F16" s="17">
        <f>SUM(F14:F15)</f>
        <v>30.317763489999997</v>
      </c>
      <c r="G16" s="17">
        <f>SUM(G14:G15)</f>
        <v>805.35078959581733</v>
      </c>
      <c r="H16" s="7">
        <f t="shared" si="4"/>
        <v>3.7645413503866583E-2</v>
      </c>
      <c r="I16" s="17">
        <f>SUM(I14:I15)</f>
        <v>-15.819721313964164</v>
      </c>
      <c r="J16" s="17">
        <f>SUM(J14:J15)</f>
        <v>-465.99478128331555</v>
      </c>
      <c r="K16" s="12" t="str">
        <f t="shared" si="0"/>
        <v>N.A</v>
      </c>
      <c r="L16" s="12">
        <f t="shared" si="5"/>
        <v>4.2148222958076076E-3</v>
      </c>
      <c r="M16" s="12" t="str">
        <f t="shared" si="6"/>
        <v>N.A</v>
      </c>
      <c r="N16" s="17">
        <f>SUM(N14:N15)</f>
        <v>25.971079385000003</v>
      </c>
      <c r="O16" s="17">
        <f>SUM(O14:O15)</f>
        <v>687.89196630781737</v>
      </c>
      <c r="P16" s="7">
        <f t="shared" si="17"/>
        <v>3.7754590338359158E-2</v>
      </c>
      <c r="Q16" s="17">
        <f>SUM(Q14:Q15)</f>
        <v>-9.5422800910126675</v>
      </c>
      <c r="R16" s="17">
        <f>SUM(R14:R15)</f>
        <v>-299.29222636834061</v>
      </c>
      <c r="S16" s="12" t="str">
        <f t="shared" si="1"/>
        <v>N.A</v>
      </c>
      <c r="T16" s="17">
        <f>SUM(T14:T15)</f>
        <v>6266.6600601865703</v>
      </c>
      <c r="U16" s="17">
        <f>SUM(U14:U15)</f>
        <v>234044.07439365031</v>
      </c>
      <c r="V16" s="7">
        <f t="shared" si="8"/>
        <v>2.6775555315476027E-2</v>
      </c>
      <c r="W16" s="17">
        <f>SUM(W14:W15)</f>
        <v>458.79637909998746</v>
      </c>
      <c r="X16" s="17">
        <f>SUM(X14:X15)</f>
        <v>15890.677753079188</v>
      </c>
      <c r="Y16" s="7">
        <f t="shared" si="9"/>
        <v>2.8872046002637302E-2</v>
      </c>
      <c r="Z16" s="17">
        <f>SUM(Z14:Z15)</f>
        <v>-86.122284532998819</v>
      </c>
      <c r="AA16" s="17">
        <f>SUM(AA14:AA15)</f>
        <v>-6585.4426496571914</v>
      </c>
      <c r="AB16" s="12" t="str">
        <f t="shared" si="2"/>
        <v>N.A</v>
      </c>
      <c r="AC16" s="12">
        <f t="shared" si="10"/>
        <v>2.0964906871612753E-3</v>
      </c>
      <c r="AD16" s="12" t="str">
        <f t="shared" si="11"/>
        <v>N.A</v>
      </c>
    </row>
    <row r="17" spans="1:32" ht="12.75" hidden="1" customHeight="1" outlineLevel="2" x14ac:dyDescent="0.3">
      <c r="A17" s="4" t="s">
        <v>21</v>
      </c>
      <c r="B17" s="4" t="s">
        <v>22</v>
      </c>
      <c r="C17" s="16">
        <v>228.242899680947</v>
      </c>
      <c r="D17" s="16">
        <v>26136.284570436299</v>
      </c>
      <c r="E17" s="5">
        <f t="shared" si="3"/>
        <v>8.7327982317395199E-3</v>
      </c>
      <c r="F17" s="16">
        <v>4.9814248389999998</v>
      </c>
      <c r="G17" s="16">
        <v>229.14016662999998</v>
      </c>
      <c r="H17" s="5">
        <f t="shared" si="4"/>
        <v>2.1739640466630485E-2</v>
      </c>
      <c r="I17" s="16">
        <v>3.1842544651015094</v>
      </c>
      <c r="J17" s="16">
        <v>-80.689397615377104</v>
      </c>
      <c r="K17" s="13" t="str">
        <f t="shared" ref="K17:K28" si="19">IF(AND(I17&gt;0,J17&gt;0),I17/J17,"N.A")</f>
        <v>N.A</v>
      </c>
      <c r="L17" s="13">
        <f t="shared" si="5"/>
        <v>1.3006842234890965E-2</v>
      </c>
      <c r="M17" s="13" t="str">
        <f t="shared" si="6"/>
        <v>N.A</v>
      </c>
      <c r="N17" s="16">
        <v>4.2164865430000003</v>
      </c>
      <c r="O17" s="16">
        <v>176.06708957800009</v>
      </c>
      <c r="P17" s="5">
        <f t="shared" si="17"/>
        <v>2.3948181077486603E-2</v>
      </c>
      <c r="Q17" s="16">
        <v>2.75177288954667</v>
      </c>
      <c r="R17" s="16">
        <v>-62.561419442795703</v>
      </c>
      <c r="S17" s="13" t="str">
        <f t="shared" si="1"/>
        <v>N.A</v>
      </c>
      <c r="T17" s="16">
        <v>0</v>
      </c>
      <c r="U17" s="16">
        <v>31195.448555360599</v>
      </c>
      <c r="V17" s="5">
        <f t="shared" si="8"/>
        <v>0</v>
      </c>
      <c r="W17" s="16">
        <v>245.60178395400311</v>
      </c>
      <c r="X17" s="16">
        <v>4270.6990411610332</v>
      </c>
      <c r="Y17" s="5">
        <f t="shared" si="9"/>
        <v>5.7508567470311314E-2</v>
      </c>
      <c r="Z17" s="16">
        <v>237.38541086000305</v>
      </c>
      <c r="AA17" s="16">
        <v>-664.78300655590226</v>
      </c>
      <c r="AB17" s="13" t="str">
        <f t="shared" si="2"/>
        <v>N.A</v>
      </c>
      <c r="AC17" s="13">
        <f t="shared" si="10"/>
        <v>5.7508567470311314E-2</v>
      </c>
      <c r="AD17" s="13" t="str">
        <f t="shared" si="11"/>
        <v>N.A</v>
      </c>
    </row>
    <row r="18" spans="1:32" ht="12.75" hidden="1" customHeight="1" outlineLevel="2" x14ac:dyDescent="0.3">
      <c r="A18" s="4"/>
      <c r="B18" s="4" t="s">
        <v>23</v>
      </c>
      <c r="C18" s="16">
        <v>0</v>
      </c>
      <c r="D18" s="16">
        <v>4.91886983E-2</v>
      </c>
      <c r="E18" s="5">
        <f t="shared" si="3"/>
        <v>0</v>
      </c>
      <c r="F18" s="16">
        <v>0</v>
      </c>
      <c r="G18" s="16">
        <v>0</v>
      </c>
      <c r="H18" s="5">
        <f t="shared" si="4"/>
        <v>0</v>
      </c>
      <c r="I18" s="16">
        <v>0</v>
      </c>
      <c r="J18" s="16">
        <v>0</v>
      </c>
      <c r="K18" s="13" t="str">
        <f t="shared" si="19"/>
        <v>N.A</v>
      </c>
      <c r="L18" s="13">
        <f t="shared" si="5"/>
        <v>0</v>
      </c>
      <c r="M18" s="13" t="str">
        <f t="shared" si="6"/>
        <v>N.A</v>
      </c>
      <c r="N18" s="16">
        <v>0</v>
      </c>
      <c r="O18" s="16">
        <v>0</v>
      </c>
      <c r="P18" s="5">
        <f t="shared" si="17"/>
        <v>0</v>
      </c>
      <c r="Q18" s="16">
        <v>0</v>
      </c>
      <c r="R18" s="16">
        <v>0</v>
      </c>
      <c r="S18" s="13" t="str">
        <f t="shared" si="1"/>
        <v>N.A</v>
      </c>
      <c r="T18" s="16">
        <v>0</v>
      </c>
      <c r="U18" s="16">
        <v>130.19733413489999</v>
      </c>
      <c r="V18" s="5">
        <f t="shared" si="8"/>
        <v>0</v>
      </c>
      <c r="W18" s="16">
        <v>0</v>
      </c>
      <c r="X18" s="16">
        <v>1161.3171866729899</v>
      </c>
      <c r="Y18" s="5">
        <f t="shared" si="9"/>
        <v>0</v>
      </c>
      <c r="Z18" s="16">
        <v>0</v>
      </c>
      <c r="AA18" s="16">
        <v>1145.7699328039903</v>
      </c>
      <c r="AB18" s="13" t="str">
        <f t="shared" si="2"/>
        <v>N.A</v>
      </c>
      <c r="AC18" s="13">
        <f t="shared" si="10"/>
        <v>0</v>
      </c>
      <c r="AD18" s="13" t="str">
        <f t="shared" si="11"/>
        <v>N.A</v>
      </c>
    </row>
    <row r="19" spans="1:32" ht="12.75" hidden="1" customHeight="1" outlineLevel="2" x14ac:dyDescent="0.3">
      <c r="A19" s="4"/>
      <c r="B19" s="4" t="s">
        <v>24</v>
      </c>
      <c r="C19" s="16">
        <v>4118.4037802504399</v>
      </c>
      <c r="D19" s="16">
        <v>151219.09034787701</v>
      </c>
      <c r="E19" s="5">
        <f t="shared" si="3"/>
        <v>2.7234681618412863E-2</v>
      </c>
      <c r="F19" s="16">
        <v>44.940583986</v>
      </c>
      <c r="G19" s="16">
        <v>1818.008896374</v>
      </c>
      <c r="H19" s="5">
        <f t="shared" si="4"/>
        <v>2.4719672206023596E-2</v>
      </c>
      <c r="I19" s="16">
        <v>22.168261804934456</v>
      </c>
      <c r="J19" s="16">
        <v>595.42425789532979</v>
      </c>
      <c r="K19" s="13">
        <f t="shared" si="19"/>
        <v>3.7231035704345515E-2</v>
      </c>
      <c r="L19" s="13">
        <f t="shared" si="5"/>
        <v>-2.5150094123892672E-3</v>
      </c>
      <c r="M19" s="13">
        <f t="shared" si="6"/>
        <v>9.9963540859326523E-3</v>
      </c>
      <c r="N19" s="16">
        <v>37.558896507999997</v>
      </c>
      <c r="O19" s="16">
        <v>1512.3851041519999</v>
      </c>
      <c r="P19" s="5">
        <f t="shared" si="17"/>
        <v>2.4834214780936639E-2</v>
      </c>
      <c r="Q19" s="16">
        <v>21.33075326101125</v>
      </c>
      <c r="R19" s="16">
        <v>593.60887444203354</v>
      </c>
      <c r="S19" s="13">
        <f t="shared" si="1"/>
        <v>3.5934020159421015E-2</v>
      </c>
      <c r="T19" s="16">
        <v>3536.6591103761398</v>
      </c>
      <c r="U19" s="16">
        <v>149072.061362876</v>
      </c>
      <c r="V19" s="5">
        <f t="shared" si="8"/>
        <v>2.3724493228594261E-2</v>
      </c>
      <c r="W19" s="16">
        <v>579.86192722800331</v>
      </c>
      <c r="X19" s="16">
        <v>31162.426816514981</v>
      </c>
      <c r="Y19" s="5">
        <f t="shared" si="9"/>
        <v>1.8607726883475489E-2</v>
      </c>
      <c r="Z19" s="16">
        <v>305.0108428260084</v>
      </c>
      <c r="AA19" s="16">
        <v>13557.392823812903</v>
      </c>
      <c r="AB19" s="13">
        <f t="shared" si="2"/>
        <v>2.2497750621363694E-2</v>
      </c>
      <c r="AC19" s="13">
        <f t="shared" si="10"/>
        <v>-5.1167663451187721E-3</v>
      </c>
      <c r="AD19" s="13">
        <f t="shared" si="11"/>
        <v>-1.2267426072305673E-3</v>
      </c>
    </row>
    <row r="20" spans="1:32" ht="12.75" hidden="1" customHeight="1" outlineLevel="2" x14ac:dyDescent="0.3">
      <c r="A20" s="4"/>
      <c r="B20" s="4" t="s">
        <v>25</v>
      </c>
      <c r="C20" s="16">
        <v>30128.848291218997</v>
      </c>
      <c r="D20" s="16">
        <v>241138.35739651098</v>
      </c>
      <c r="E20" s="5">
        <f t="shared" si="3"/>
        <v>0.12494423789110098</v>
      </c>
      <c r="F20" s="16">
        <v>402.39504525400002</v>
      </c>
      <c r="G20" s="16">
        <v>4635.7336304241826</v>
      </c>
      <c r="H20" s="5">
        <f t="shared" si="4"/>
        <v>8.6802883283261412E-2</v>
      </c>
      <c r="I20" s="16">
        <v>202.63983283828466</v>
      </c>
      <c r="J20" s="16">
        <v>2843.4092170442523</v>
      </c>
      <c r="K20" s="13">
        <f t="shared" si="19"/>
        <v>7.1266503471818413E-2</v>
      </c>
      <c r="L20" s="13">
        <f t="shared" si="5"/>
        <v>-3.8141354607839573E-2</v>
      </c>
      <c r="M20" s="13">
        <f t="shared" si="6"/>
        <v>-5.3677734419282572E-2</v>
      </c>
      <c r="N20" s="16">
        <v>328.49227064299998</v>
      </c>
      <c r="O20" s="16">
        <v>3903.1925356961815</v>
      </c>
      <c r="P20" s="5">
        <f t="shared" si="17"/>
        <v>8.4159894147883593E-2</v>
      </c>
      <c r="Q20" s="16">
        <v>197.18167144481546</v>
      </c>
      <c r="R20" s="16">
        <v>2552.1590503814241</v>
      </c>
      <c r="S20" s="13">
        <f t="shared" si="1"/>
        <v>7.7260730053382201E-2</v>
      </c>
      <c r="T20" s="16">
        <v>27047.4230630112</v>
      </c>
      <c r="U20" s="16">
        <v>273616.26391295501</v>
      </c>
      <c r="V20" s="5">
        <f t="shared" si="8"/>
        <v>9.885166428416603E-2</v>
      </c>
      <c r="W20" s="16">
        <v>4894.0442539740679</v>
      </c>
      <c r="X20" s="16">
        <v>75171.026801511718</v>
      </c>
      <c r="Y20" s="5">
        <f t="shared" si="9"/>
        <v>6.5105459672604157E-2</v>
      </c>
      <c r="Z20" s="16">
        <v>2578.910723789123</v>
      </c>
      <c r="AA20" s="16">
        <v>44419.688615292122</v>
      </c>
      <c r="AB20" s="13">
        <f t="shared" si="2"/>
        <v>5.8057829853883657E-2</v>
      </c>
      <c r="AC20" s="13">
        <f t="shared" si="10"/>
        <v>-3.3746204611561872E-2</v>
      </c>
      <c r="AD20" s="13">
        <f t="shared" si="11"/>
        <v>-4.0793834430282373E-2</v>
      </c>
    </row>
    <row r="21" spans="1:32" ht="12.75" hidden="1" customHeight="1" outlineLevel="2" x14ac:dyDescent="0.3">
      <c r="A21" s="4"/>
      <c r="B21" s="4" t="s">
        <v>26</v>
      </c>
      <c r="C21" s="16">
        <v>10517.149091712799</v>
      </c>
      <c r="D21" s="16">
        <v>319999.873047092</v>
      </c>
      <c r="E21" s="5">
        <f t="shared" si="3"/>
        <v>3.2866103950500845E-2</v>
      </c>
      <c r="F21" s="16">
        <v>113.89391354700001</v>
      </c>
      <c r="G21" s="16">
        <v>4457.4779515120072</v>
      </c>
      <c r="H21" s="5">
        <f t="shared" si="4"/>
        <v>2.5551200653357448E-2</v>
      </c>
      <c r="I21" s="16">
        <v>39.334179271566107</v>
      </c>
      <c r="J21" s="16">
        <v>1884.8182924264102</v>
      </c>
      <c r="K21" s="13">
        <f t="shared" si="19"/>
        <v>2.0868950301267224E-2</v>
      </c>
      <c r="L21" s="13">
        <f t="shared" si="5"/>
        <v>-7.3149032971433978E-3</v>
      </c>
      <c r="M21" s="13">
        <f t="shared" si="6"/>
        <v>-1.1997153649233622E-2</v>
      </c>
      <c r="N21" s="16">
        <v>98.81812120299999</v>
      </c>
      <c r="O21" s="16">
        <v>3585.9819009700072</v>
      </c>
      <c r="P21" s="5">
        <f t="shared" si="17"/>
        <v>2.7556781916905301E-2</v>
      </c>
      <c r="Q21" s="16">
        <v>39.609050094270991</v>
      </c>
      <c r="R21" s="16">
        <v>1574.5110412437655</v>
      </c>
      <c r="S21" s="13">
        <f t="shared" si="1"/>
        <v>2.5156413042986547E-2</v>
      </c>
      <c r="T21" s="16">
        <v>10138.373551659</v>
      </c>
      <c r="U21" s="16">
        <v>377335.159942033</v>
      </c>
      <c r="V21" s="5">
        <f t="shared" si="8"/>
        <v>2.6868351078697457E-2</v>
      </c>
      <c r="W21" s="16">
        <v>1741.7859751200758</v>
      </c>
      <c r="X21" s="16">
        <v>64131.54962579436</v>
      </c>
      <c r="Y21" s="5">
        <f t="shared" si="9"/>
        <v>2.7159580351376882E-2</v>
      </c>
      <c r="Z21" s="16">
        <v>678.19796766415186</v>
      </c>
      <c r="AA21" s="16">
        <v>22996.688984719745</v>
      </c>
      <c r="AB21" s="13">
        <f t="shared" si="2"/>
        <v>2.9491113617042156E-2</v>
      </c>
      <c r="AC21" s="13">
        <f t="shared" si="10"/>
        <v>2.9122927267942467E-4</v>
      </c>
      <c r="AD21" s="13">
        <f t="shared" si="11"/>
        <v>2.6227625383446994E-3</v>
      </c>
    </row>
    <row r="22" spans="1:32" ht="12.75" hidden="1" customHeight="1" outlineLevel="2" x14ac:dyDescent="0.3">
      <c r="A22" s="4"/>
      <c r="B22" s="4" t="s">
        <v>27</v>
      </c>
      <c r="C22" s="16">
        <v>64752.695900018902</v>
      </c>
      <c r="D22" s="16">
        <v>414429.15700526105</v>
      </c>
      <c r="E22" s="5">
        <f t="shared" si="3"/>
        <v>0.15624551218339322</v>
      </c>
      <c r="F22" s="16">
        <v>868.91090737099989</v>
      </c>
      <c r="G22" s="16">
        <v>6898.5505913613106</v>
      </c>
      <c r="H22" s="5">
        <f t="shared" si="4"/>
        <v>0.12595557514053618</v>
      </c>
      <c r="I22" s="16">
        <v>503.27446016698588</v>
      </c>
      <c r="J22" s="16">
        <v>3709.4875010879814</v>
      </c>
      <c r="K22" s="13">
        <f t="shared" si="19"/>
        <v>0.13567223505117001</v>
      </c>
      <c r="L22" s="13">
        <f t="shared" si="5"/>
        <v>-3.028993704285704E-2</v>
      </c>
      <c r="M22" s="13">
        <f t="shared" si="6"/>
        <v>-2.0573277132223206E-2</v>
      </c>
      <c r="N22" s="16">
        <v>714.7400115419988</v>
      </c>
      <c r="O22" s="16">
        <v>5671.9020299603117</v>
      </c>
      <c r="P22" s="5">
        <f t="shared" si="17"/>
        <v>0.12601416734043977</v>
      </c>
      <c r="Q22" s="16">
        <v>421.31241394732638</v>
      </c>
      <c r="R22" s="16">
        <v>3142.4256448456954</v>
      </c>
      <c r="S22" s="13">
        <f t="shared" si="1"/>
        <v>0.13407235733274267</v>
      </c>
      <c r="T22" s="16">
        <v>53465.468907786701</v>
      </c>
      <c r="U22" s="16">
        <v>391351.47372196498</v>
      </c>
      <c r="V22" s="5">
        <f t="shared" si="8"/>
        <v>0.13661752286071921</v>
      </c>
      <c r="W22" s="16">
        <v>11508.955154624604</v>
      </c>
      <c r="X22" s="16">
        <v>96113.860954463074</v>
      </c>
      <c r="Y22" s="5">
        <f t="shared" si="9"/>
        <v>0.11974292823464171</v>
      </c>
      <c r="Z22" s="16">
        <v>6743.6889055088814</v>
      </c>
      <c r="AA22" s="16">
        <v>52266.590398619803</v>
      </c>
      <c r="AB22" s="13">
        <f t="shared" si="2"/>
        <v>0.12902484845628961</v>
      </c>
      <c r="AC22" s="13">
        <f t="shared" si="10"/>
        <v>-1.6874594626077502E-2</v>
      </c>
      <c r="AD22" s="13">
        <f t="shared" si="11"/>
        <v>-7.5926744044295946E-3</v>
      </c>
    </row>
    <row r="23" spans="1:32" ht="12.75" hidden="1" customHeight="1" outlineLevel="2" x14ac:dyDescent="0.3">
      <c r="A23" s="4"/>
      <c r="B23" s="4" t="s">
        <v>28</v>
      </c>
      <c r="C23" s="16">
        <v>26251.648822314502</v>
      </c>
      <c r="D23" s="16">
        <v>198350.66649584801</v>
      </c>
      <c r="E23" s="5">
        <f t="shared" si="3"/>
        <v>0.13234968798485996</v>
      </c>
      <c r="F23" s="16">
        <v>875.22630989900006</v>
      </c>
      <c r="G23" s="16">
        <v>3729.432258636999</v>
      </c>
      <c r="H23" s="5">
        <f t="shared" si="4"/>
        <v>0.2346808439467058</v>
      </c>
      <c r="I23" s="16">
        <v>688.54657798915798</v>
      </c>
      <c r="J23" s="16">
        <v>2004.4853817742371</v>
      </c>
      <c r="K23" s="13">
        <f t="shared" si="19"/>
        <v>0.34350291813038936</v>
      </c>
      <c r="L23" s="13">
        <f t="shared" si="5"/>
        <v>0.10233115596184583</v>
      </c>
      <c r="M23" s="13">
        <f t="shared" si="6"/>
        <v>0.21115323014552939</v>
      </c>
      <c r="N23" s="16">
        <v>720.39640508499997</v>
      </c>
      <c r="O23" s="16">
        <v>3094.5763537969997</v>
      </c>
      <c r="P23" s="5">
        <f t="shared" si="17"/>
        <v>0.23279322360266994</v>
      </c>
      <c r="Q23" s="16">
        <v>575.22807916098816</v>
      </c>
      <c r="R23" s="16">
        <v>1725.8874080138519</v>
      </c>
      <c r="S23" s="13">
        <f t="shared" si="1"/>
        <v>0.33329409351387507</v>
      </c>
      <c r="T23" s="16">
        <v>17943.961053903098</v>
      </c>
      <c r="U23" s="16">
        <v>179237.71766072899</v>
      </c>
      <c r="V23" s="5">
        <f t="shared" si="8"/>
        <v>0.10011263972836573</v>
      </c>
      <c r="W23" s="16">
        <v>9181.1773517517904</v>
      </c>
      <c r="X23" s="16">
        <v>58679.566091593784</v>
      </c>
      <c r="Y23" s="5">
        <f t="shared" si="9"/>
        <v>0.15646293869011843</v>
      </c>
      <c r="Z23" s="16">
        <v>6965.4003176689384</v>
      </c>
      <c r="AA23" s="16">
        <v>35026.496184982192</v>
      </c>
      <c r="AB23" s="13">
        <f t="shared" si="2"/>
        <v>0.19886089321875686</v>
      </c>
      <c r="AC23" s="13">
        <f t="shared" si="10"/>
        <v>5.6350298961752698E-2</v>
      </c>
      <c r="AD23" s="13">
        <f t="shared" si="11"/>
        <v>9.8748253490391125E-2</v>
      </c>
    </row>
    <row r="24" spans="1:32" ht="12.75" hidden="1" customHeight="1" outlineLevel="2" x14ac:dyDescent="0.3">
      <c r="A24" s="4"/>
      <c r="B24" s="4" t="s">
        <v>29</v>
      </c>
      <c r="C24" s="16">
        <v>24710.720050239499</v>
      </c>
      <c r="D24" s="16">
        <v>464466.74083828297</v>
      </c>
      <c r="E24" s="5">
        <f t="shared" si="3"/>
        <v>5.3202345566532659E-2</v>
      </c>
      <c r="F24" s="16">
        <v>353.09559614099999</v>
      </c>
      <c r="G24" s="16">
        <v>7662.7052756048688</v>
      </c>
      <c r="H24" s="5">
        <f t="shared" si="4"/>
        <v>4.6079756879743465E-2</v>
      </c>
      <c r="I24" s="16">
        <v>57.552568325353079</v>
      </c>
      <c r="J24" s="16">
        <v>740.32297669064076</v>
      </c>
      <c r="K24" s="13">
        <f t="shared" si="19"/>
        <v>7.7739811051957403E-2</v>
      </c>
      <c r="L24" s="13">
        <f t="shared" si="5"/>
        <v>-7.1225886867891941E-3</v>
      </c>
      <c r="M24" s="13">
        <f t="shared" si="6"/>
        <v>2.4537465485424743E-2</v>
      </c>
      <c r="N24" s="16">
        <v>271.62705865600009</v>
      </c>
      <c r="O24" s="16">
        <v>6198.1027292968693</v>
      </c>
      <c r="P24" s="5">
        <f t="shared" si="17"/>
        <v>4.3824226625365122E-2</v>
      </c>
      <c r="Q24" s="16">
        <v>58.736596971998999</v>
      </c>
      <c r="R24" s="16">
        <v>964.00888597262031</v>
      </c>
      <c r="S24" s="13">
        <f t="shared" si="1"/>
        <v>6.0929518209510813E-2</v>
      </c>
      <c r="T24" s="16">
        <v>20282.072680488702</v>
      </c>
      <c r="U24" s="16">
        <v>470035.588231434</v>
      </c>
      <c r="V24" s="5">
        <f t="shared" si="8"/>
        <v>4.3150078820206925E-2</v>
      </c>
      <c r="W24" s="16">
        <v>7972.1595207229402</v>
      </c>
      <c r="X24" s="16">
        <v>132996.19428959003</v>
      </c>
      <c r="Y24" s="5">
        <f t="shared" si="9"/>
        <v>5.9942764252066592E-2</v>
      </c>
      <c r="Z24" s="16">
        <v>2926.7673873019776</v>
      </c>
      <c r="AA24" s="16">
        <v>27787.268950548405</v>
      </c>
      <c r="AB24" s="13">
        <f t="shared" si="2"/>
        <v>0.10532763736193712</v>
      </c>
      <c r="AC24" s="13">
        <f t="shared" si="10"/>
        <v>1.6792685431859668E-2</v>
      </c>
      <c r="AD24" s="13">
        <f t="shared" si="11"/>
        <v>6.2177558541730196E-2</v>
      </c>
      <c r="AF24" s="34"/>
    </row>
    <row r="25" spans="1:32" ht="12.75" hidden="1" customHeight="1" outlineLevel="2" x14ac:dyDescent="0.3">
      <c r="A25" s="4"/>
      <c r="B25" s="4" t="s">
        <v>30</v>
      </c>
      <c r="C25" s="16">
        <v>17807.471753322898</v>
      </c>
      <c r="D25" s="16">
        <v>323074.40524644597</v>
      </c>
      <c r="E25" s="5">
        <f t="shared" si="3"/>
        <v>5.5118794507225337E-2</v>
      </c>
      <c r="F25" s="16">
        <v>218.53627981700004</v>
      </c>
      <c r="G25" s="16">
        <v>6349.4612147765092</v>
      </c>
      <c r="H25" s="5">
        <f t="shared" si="4"/>
        <v>3.4418082483663487E-2</v>
      </c>
      <c r="I25" s="16">
        <v>49.177002303666228</v>
      </c>
      <c r="J25" s="16">
        <v>3621.1071839306587</v>
      </c>
      <c r="K25" s="13">
        <f t="shared" si="19"/>
        <v>1.3580653597302612E-2</v>
      </c>
      <c r="L25" s="13">
        <f t="shared" si="5"/>
        <v>-2.070071202356185E-2</v>
      </c>
      <c r="M25" s="13">
        <f t="shared" si="6"/>
        <v>-4.1538140909922722E-2</v>
      </c>
      <c r="N25" s="16">
        <v>180.69003683699998</v>
      </c>
      <c r="O25" s="16">
        <v>5248.4539657545092</v>
      </c>
      <c r="P25" s="5">
        <f t="shared" si="17"/>
        <v>3.4427288114934292E-2</v>
      </c>
      <c r="Q25" s="16">
        <v>49.110274245394073</v>
      </c>
      <c r="R25" s="16">
        <v>3138.6119390140816</v>
      </c>
      <c r="S25" s="13">
        <f t="shared" si="1"/>
        <v>1.5647131661909394E-2</v>
      </c>
      <c r="T25" s="16">
        <v>17329.7287439994</v>
      </c>
      <c r="U25" s="16">
        <v>297858.68798756797</v>
      </c>
      <c r="V25" s="5">
        <f t="shared" si="8"/>
        <v>5.8181041691564517E-2</v>
      </c>
      <c r="W25" s="16">
        <v>3026.8341148301784</v>
      </c>
      <c r="X25" s="16">
        <v>81657.415697085904</v>
      </c>
      <c r="Y25" s="5">
        <f t="shared" si="9"/>
        <v>3.706747377431633E-2</v>
      </c>
      <c r="Z25" s="16">
        <v>708.81843604799508</v>
      </c>
      <c r="AA25" s="16">
        <v>45242.575260884369</v>
      </c>
      <c r="AB25" s="13">
        <f t="shared" si="2"/>
        <v>1.5667066517781145E-2</v>
      </c>
      <c r="AC25" s="13">
        <f t="shared" si="10"/>
        <v>-2.1113567917248187E-2</v>
      </c>
      <c r="AD25" s="13">
        <f t="shared" si="11"/>
        <v>-4.2513975173783372E-2</v>
      </c>
    </row>
    <row r="26" spans="1:32" ht="12.75" hidden="1" customHeight="1" outlineLevel="2" x14ac:dyDescent="0.3">
      <c r="A26" s="4"/>
      <c r="B26" s="4" t="s">
        <v>95</v>
      </c>
      <c r="C26" s="16">
        <v>54804.602237455205</v>
      </c>
      <c r="D26" s="16">
        <v>485167.28262995899</v>
      </c>
      <c r="E26" s="5">
        <f t="shared" si="3"/>
        <v>0.11296021846397898</v>
      </c>
      <c r="F26" s="16">
        <v>336.91849883700002</v>
      </c>
      <c r="G26" s="16">
        <v>8561.4047378369996</v>
      </c>
      <c r="H26" s="5">
        <f t="shared" si="4"/>
        <v>3.9353179665481033E-2</v>
      </c>
      <c r="I26" s="16">
        <v>-41.802649867746588</v>
      </c>
      <c r="J26" s="16">
        <v>4507.1548555510235</v>
      </c>
      <c r="K26" s="13" t="str">
        <f t="shared" si="19"/>
        <v>N.A</v>
      </c>
      <c r="L26" s="13">
        <f t="shared" si="5"/>
        <v>-7.3607038798497948E-2</v>
      </c>
      <c r="M26" s="13" t="str">
        <f t="shared" si="6"/>
        <v>N.A</v>
      </c>
      <c r="N26" s="16">
        <v>273.31415802400005</v>
      </c>
      <c r="O26" s="16">
        <v>7117.4890813720003</v>
      </c>
      <c r="P26" s="5">
        <f t="shared" si="17"/>
        <v>3.8400362107940844E-2</v>
      </c>
      <c r="Q26" s="16">
        <v>44.862267583412034</v>
      </c>
      <c r="R26" s="16">
        <v>4049.1510364489345</v>
      </c>
      <c r="S26" s="13">
        <f t="shared" si="1"/>
        <v>1.1079425583184914E-2</v>
      </c>
      <c r="T26" s="16">
        <v>52534.5787648759</v>
      </c>
      <c r="U26" s="16">
        <v>447703.36951096402</v>
      </c>
      <c r="V26" s="5">
        <f t="shared" si="8"/>
        <v>0.11734237967040664</v>
      </c>
      <c r="W26" s="16">
        <v>6295.7006183002541</v>
      </c>
      <c r="X26" s="16">
        <v>131234.008030353</v>
      </c>
      <c r="Y26" s="5">
        <f t="shared" si="9"/>
        <v>4.7973088018801707E-2</v>
      </c>
      <c r="Z26" s="16">
        <v>1839.6252238049178</v>
      </c>
      <c r="AA26" s="16">
        <v>86292.044650026626</v>
      </c>
      <c r="AB26" s="13">
        <f t="shared" si="2"/>
        <v>2.1318595836567075E-2</v>
      </c>
      <c r="AC26" s="13">
        <f t="shared" si="10"/>
        <v>-6.9369291651604936E-2</v>
      </c>
      <c r="AD26" s="13">
        <f t="shared" si="11"/>
        <v>-9.6023783833839568E-2</v>
      </c>
    </row>
    <row r="27" spans="1:32" ht="12.75" hidden="1" customHeight="1" outlineLevel="2" x14ac:dyDescent="0.3">
      <c r="A27" s="4"/>
      <c r="B27" s="4" t="s">
        <v>63</v>
      </c>
      <c r="C27" s="16">
        <v>13958.6127782242</v>
      </c>
      <c r="D27" s="16">
        <v>185046.37109189498</v>
      </c>
      <c r="E27" s="5">
        <f t="shared" si="3"/>
        <v>7.5433053325278568E-2</v>
      </c>
      <c r="F27" s="16">
        <v>481.30707873599999</v>
      </c>
      <c r="G27" s="16">
        <v>5044.2080125014099</v>
      </c>
      <c r="H27" s="5">
        <f t="shared" si="4"/>
        <v>9.5417769755557921E-2</v>
      </c>
      <c r="I27" s="16">
        <v>397.67397824520208</v>
      </c>
      <c r="J27" s="16">
        <v>3472.63218817297</v>
      </c>
      <c r="K27" s="13">
        <f t="shared" si="19"/>
        <v>0.11451658473926296</v>
      </c>
      <c r="L27" s="13">
        <f t="shared" si="5"/>
        <v>1.9984716430279353E-2</v>
      </c>
      <c r="M27" s="13">
        <f t="shared" si="6"/>
        <v>3.9083531413984393E-2</v>
      </c>
      <c r="N27" s="16">
        <v>369.2385170340001</v>
      </c>
      <c r="O27" s="16">
        <v>4044.8362375938705</v>
      </c>
      <c r="P27" s="5">
        <f t="shared" si="17"/>
        <v>9.1286394638722623E-2</v>
      </c>
      <c r="Q27" s="16">
        <v>300.71307872178818</v>
      </c>
      <c r="R27" s="16">
        <v>2809.873677681107</v>
      </c>
      <c r="S27" s="13">
        <f t="shared" si="1"/>
        <v>0.10702014154955053</v>
      </c>
      <c r="T27" s="16">
        <v>7942.3381265896296</v>
      </c>
      <c r="U27" s="16">
        <v>120299.167452573</v>
      </c>
      <c r="V27" s="5">
        <f t="shared" si="8"/>
        <v>6.6021555217502512E-2</v>
      </c>
      <c r="W27" s="16">
        <v>4678.5290816699926</v>
      </c>
      <c r="X27" s="16">
        <v>82072.172997636881</v>
      </c>
      <c r="Y27" s="5">
        <f t="shared" si="9"/>
        <v>5.7005059215438372E-2</v>
      </c>
      <c r="Z27" s="16">
        <v>3589.1958754350057</v>
      </c>
      <c r="AA27" s="16">
        <v>64173.82332759432</v>
      </c>
      <c r="AB27" s="13">
        <f t="shared" si="2"/>
        <v>5.5929282210799416E-2</v>
      </c>
      <c r="AC27" s="13">
        <f t="shared" ref="AC27" si="20">Y27-V27</f>
        <v>-9.0164960020641394E-3</v>
      </c>
      <c r="AD27" s="13">
        <f t="shared" ref="AD27" si="21">IF(AB27="N.A","N.A",AB27-V27)</f>
        <v>-1.0092273006703095E-2</v>
      </c>
    </row>
    <row r="28" spans="1:32" ht="12.75" hidden="1" customHeight="1" outlineLevel="2" x14ac:dyDescent="0.3">
      <c r="A28" s="4"/>
      <c r="B28" s="4" t="s">
        <v>31</v>
      </c>
      <c r="C28" s="16">
        <v>5161.8579479126602</v>
      </c>
      <c r="D28" s="16">
        <v>173832.49094108</v>
      </c>
      <c r="E28" s="5">
        <f t="shared" si="3"/>
        <v>2.9694436983373013E-2</v>
      </c>
      <c r="F28" s="16">
        <v>72.956444404999999</v>
      </c>
      <c r="G28" s="16">
        <v>2087.3802368649999</v>
      </c>
      <c r="H28" s="5">
        <f t="shared" si="4"/>
        <v>3.49512001294848E-2</v>
      </c>
      <c r="I28" s="16">
        <v>12.597925774133468</v>
      </c>
      <c r="J28" s="16">
        <v>239.96918172846094</v>
      </c>
      <c r="K28" s="13">
        <f t="shared" si="19"/>
        <v>5.2498098644969973E-2</v>
      </c>
      <c r="L28" s="13">
        <f t="shared" si="5"/>
        <v>5.256763146111787E-3</v>
      </c>
      <c r="M28" s="13">
        <f t="shared" si="6"/>
        <v>2.2803661661596961E-2</v>
      </c>
      <c r="N28" s="16">
        <v>61.517651518999998</v>
      </c>
      <c r="O28" s="16">
        <v>1741.7287869960001</v>
      </c>
      <c r="P28" s="5">
        <f t="shared" si="17"/>
        <v>3.531987986780704E-2</v>
      </c>
      <c r="Q28" s="16">
        <v>13.11804705840343</v>
      </c>
      <c r="R28" s="16">
        <v>401.41638741831702</v>
      </c>
      <c r="S28" s="13">
        <f t="shared" si="1"/>
        <v>3.2679400915272251E-2</v>
      </c>
      <c r="T28" s="16">
        <v>4283.4848714275304</v>
      </c>
      <c r="U28" s="16">
        <v>173825.932731446</v>
      </c>
      <c r="V28" s="5">
        <f t="shared" si="8"/>
        <v>2.4642381053955515E-2</v>
      </c>
      <c r="W28" s="16">
        <v>1350.4294061310152</v>
      </c>
      <c r="X28" s="16">
        <v>33831.278744373121</v>
      </c>
      <c r="Y28" s="5">
        <f t="shared" si="9"/>
        <v>3.9916593645033915E-2</v>
      </c>
      <c r="Z28" s="16">
        <v>850.64288486899602</v>
      </c>
      <c r="AA28" s="16">
        <v>12859.081288539113</v>
      </c>
      <c r="AB28" s="13">
        <f t="shared" si="2"/>
        <v>6.6151139866200762E-2</v>
      </c>
      <c r="AC28" s="13">
        <f t="shared" si="10"/>
        <v>1.52742125910784E-2</v>
      </c>
      <c r="AD28" s="13">
        <f t="shared" si="11"/>
        <v>4.150875881224525E-2</v>
      </c>
    </row>
    <row r="29" spans="1:32" outlineLevel="1" collapsed="1" x14ac:dyDescent="0.3">
      <c r="A29" s="6" t="s">
        <v>32</v>
      </c>
      <c r="B29" s="6"/>
      <c r="C29" s="17">
        <f>SUM(C17:C28)</f>
        <v>252440.25355235103</v>
      </c>
      <c r="D29" s="17">
        <f>SUM(D17:D28)</f>
        <v>2982860.768799386</v>
      </c>
      <c r="E29" s="7">
        <f t="shared" si="3"/>
        <v>8.4630250326420464E-2</v>
      </c>
      <c r="F29" s="17">
        <f>SUM(F17:F28)</f>
        <v>3773.1620828320001</v>
      </c>
      <c r="G29" s="17">
        <f>SUM(G17:G28)</f>
        <v>51473.502972523289</v>
      </c>
      <c r="H29" s="7">
        <f t="shared" si="4"/>
        <v>7.3302997949180285E-2</v>
      </c>
      <c r="I29" s="17">
        <f>SUM(I17:I28)</f>
        <v>1934.346391316639</v>
      </c>
      <c r="J29" s="17">
        <f>SUM(J17:J28)</f>
        <v>23538.121638686589</v>
      </c>
      <c r="K29" s="12">
        <f t="shared" si="0"/>
        <v>8.2179301348218131E-2</v>
      </c>
      <c r="L29" s="12">
        <f t="shared" si="5"/>
        <v>-1.132725237724018E-2</v>
      </c>
      <c r="M29" s="12">
        <f t="shared" si="6"/>
        <v>-2.450948978202333E-3</v>
      </c>
      <c r="N29" s="17">
        <f>SUM(N17:N28)</f>
        <v>3060.6096135939993</v>
      </c>
      <c r="O29" s="17">
        <f>SUM(O17:O28)</f>
        <v>42294.715815166754</v>
      </c>
      <c r="P29" s="7">
        <f t="shared" si="17"/>
        <v>7.2363877014075456E-2</v>
      </c>
      <c r="Q29" s="17">
        <f>SUM(Q17:Q28)</f>
        <v>1723.9540053789553</v>
      </c>
      <c r="R29" s="17">
        <f>SUM(R17:R28)</f>
        <v>20889.092526019034</v>
      </c>
      <c r="S29" s="12">
        <f t="shared" si="1"/>
        <v>8.2528908483297345E-2</v>
      </c>
      <c r="T29" s="17">
        <f>SUM(T17:T28)</f>
        <v>214504.08887411733</v>
      </c>
      <c r="U29" s="17">
        <f>SUM(U17:U28)</f>
        <v>2911661.068404038</v>
      </c>
      <c r="V29" s="7">
        <f t="shared" si="8"/>
        <v>7.3670693063081327E-2</v>
      </c>
      <c r="W29" s="17">
        <f>SUM(W17:W28)</f>
        <v>51475.079188306925</v>
      </c>
      <c r="X29" s="17">
        <f>SUM(X17:X28)</f>
        <v>792481.51627675083</v>
      </c>
      <c r="Y29" s="7">
        <f t="shared" si="9"/>
        <v>6.4954296259360028E-2</v>
      </c>
      <c r="Z29" s="17">
        <f>SUM(Z17:Z28)</f>
        <v>27423.643975775994</v>
      </c>
      <c r="AA29" s="17">
        <f>SUM(AA17:AA28)</f>
        <v>405102.63741126767</v>
      </c>
      <c r="AB29" s="12">
        <f t="shared" si="2"/>
        <v>6.7695545383317277E-2</v>
      </c>
      <c r="AC29" s="12">
        <f t="shared" si="10"/>
        <v>-8.7163968037212991E-3</v>
      </c>
      <c r="AD29" s="12">
        <f t="shared" si="11"/>
        <v>-5.9751476797640507E-3</v>
      </c>
    </row>
    <row r="30" spans="1:32" ht="12.75" hidden="1" customHeight="1" outlineLevel="2" x14ac:dyDescent="0.3">
      <c r="A30" s="4" t="s">
        <v>36</v>
      </c>
      <c r="B30" s="4" t="s">
        <v>100</v>
      </c>
      <c r="C30" s="16">
        <v>4527.0610776880094</v>
      </c>
      <c r="D30" s="16">
        <v>201612.06655588298</v>
      </c>
      <c r="E30" s="5">
        <f>IFERROR(C30/D30,)</f>
        <v>2.2454316128113272E-2</v>
      </c>
      <c r="F30" s="16">
        <v>246.26374236399991</v>
      </c>
      <c r="G30" s="16">
        <v>5116.7537049439998</v>
      </c>
      <c r="H30" s="5">
        <f>IFERROR(F30/G30,)</f>
        <v>4.8128902926488457E-2</v>
      </c>
      <c r="I30" s="16">
        <v>123.02669367593001</v>
      </c>
      <c r="J30" s="16">
        <v>2174.5268858789705</v>
      </c>
      <c r="K30" s="13">
        <f t="shared" ref="K30" si="22">IF(AND(I30&gt;0,J30&gt;0),I30/J30,"N.A")</f>
        <v>5.6576303781225086E-2</v>
      </c>
      <c r="L30" s="13">
        <f t="shared" si="5"/>
        <v>2.5674586798375185E-2</v>
      </c>
      <c r="M30" s="13">
        <f t="shared" si="6"/>
        <v>3.4121987653111814E-2</v>
      </c>
      <c r="N30" s="16">
        <v>209.21651141100003</v>
      </c>
      <c r="O30" s="16">
        <v>4278.1022633320008</v>
      </c>
      <c r="P30" s="5">
        <f>IFERROR(N30/O30,)</f>
        <v>4.8904046358174642E-2</v>
      </c>
      <c r="Q30" s="16">
        <v>111.88526194935832</v>
      </c>
      <c r="R30" s="16">
        <v>1946.961757695748</v>
      </c>
      <c r="S30" s="13">
        <f t="shared" si="1"/>
        <v>5.7466594557961853E-2</v>
      </c>
      <c r="T30" s="16">
        <v>2759.3785489198099</v>
      </c>
      <c r="U30" s="16">
        <v>189253.27902660301</v>
      </c>
      <c r="V30" s="5">
        <f t="shared" si="8"/>
        <v>1.4580347368945342E-2</v>
      </c>
      <c r="W30" s="16">
        <v>2831.0301218740392</v>
      </c>
      <c r="X30" s="16">
        <v>94725.255778297505</v>
      </c>
      <c r="Y30" s="5">
        <f t="shared" si="9"/>
        <v>2.988675088405152E-2</v>
      </c>
      <c r="Z30" s="16">
        <v>1712.550597748037</v>
      </c>
      <c r="AA30" s="16">
        <v>48002.295853138392</v>
      </c>
      <c r="AB30" s="13">
        <f t="shared" si="2"/>
        <v>3.5676431039622251E-2</v>
      </c>
      <c r="AC30" s="13">
        <f t="shared" si="10"/>
        <v>1.5306403515106178E-2</v>
      </c>
      <c r="AD30" s="13">
        <f t="shared" si="11"/>
        <v>2.1096083670676911E-2</v>
      </c>
    </row>
    <row r="31" spans="1:32" outlineLevel="1" collapsed="1" x14ac:dyDescent="0.3">
      <c r="A31" s="6" t="s">
        <v>37</v>
      </c>
      <c r="B31" s="6"/>
      <c r="C31" s="17">
        <f>C30</f>
        <v>4527.0610776880094</v>
      </c>
      <c r="D31" s="17">
        <f>D30</f>
        <v>201612.06655588298</v>
      </c>
      <c r="E31" s="7">
        <f t="shared" si="3"/>
        <v>2.2454316128113272E-2</v>
      </c>
      <c r="F31" s="17">
        <f>F30</f>
        <v>246.26374236399991</v>
      </c>
      <c r="G31" s="17">
        <f>G30</f>
        <v>5116.7537049439998</v>
      </c>
      <c r="H31" s="7">
        <f t="shared" si="4"/>
        <v>4.8128902926488457E-2</v>
      </c>
      <c r="I31" s="17">
        <f>I30</f>
        <v>123.02669367593001</v>
      </c>
      <c r="J31" s="17">
        <f>J30</f>
        <v>2174.5268858789705</v>
      </c>
      <c r="K31" s="12">
        <f t="shared" si="0"/>
        <v>5.6576303781225086E-2</v>
      </c>
      <c r="L31" s="12">
        <f t="shared" si="5"/>
        <v>2.5674586798375185E-2</v>
      </c>
      <c r="M31" s="12">
        <f t="shared" si="6"/>
        <v>3.4121987653111814E-2</v>
      </c>
      <c r="N31" s="17">
        <f>N30</f>
        <v>209.21651141100003</v>
      </c>
      <c r="O31" s="17">
        <f>O30</f>
        <v>4278.1022633320008</v>
      </c>
      <c r="P31" s="7">
        <f t="shared" ref="P31:P34" si="23">IFERROR(N31/O31,)</f>
        <v>4.8904046358174642E-2</v>
      </c>
      <c r="Q31" s="17">
        <f>Q30</f>
        <v>111.88526194935832</v>
      </c>
      <c r="R31" s="17">
        <f>R30</f>
        <v>1946.961757695748</v>
      </c>
      <c r="S31" s="12">
        <f t="shared" si="1"/>
        <v>5.7466594557961853E-2</v>
      </c>
      <c r="T31" s="17">
        <f>T30</f>
        <v>2759.3785489198099</v>
      </c>
      <c r="U31" s="17">
        <f>U30</f>
        <v>189253.27902660301</v>
      </c>
      <c r="V31" s="7">
        <f t="shared" si="8"/>
        <v>1.4580347368945342E-2</v>
      </c>
      <c r="W31" s="17">
        <f>W30</f>
        <v>2831.0301218740392</v>
      </c>
      <c r="X31" s="17">
        <f>X30</f>
        <v>94725.255778297505</v>
      </c>
      <c r="Y31" s="7">
        <f t="shared" si="9"/>
        <v>2.988675088405152E-2</v>
      </c>
      <c r="Z31" s="17">
        <f>Z30</f>
        <v>1712.550597748037</v>
      </c>
      <c r="AA31" s="17">
        <f>AA30</f>
        <v>48002.295853138392</v>
      </c>
      <c r="AB31" s="12">
        <f t="shared" si="2"/>
        <v>3.5676431039622251E-2</v>
      </c>
      <c r="AC31" s="12">
        <f t="shared" si="10"/>
        <v>1.5306403515106178E-2</v>
      </c>
      <c r="AD31" s="12">
        <f t="shared" si="11"/>
        <v>2.1096083670676911E-2</v>
      </c>
    </row>
    <row r="32" spans="1:32" ht="12.75" hidden="1" customHeight="1" outlineLevel="2" x14ac:dyDescent="0.3">
      <c r="A32" s="4" t="s">
        <v>38</v>
      </c>
      <c r="B32" s="4" t="s">
        <v>39</v>
      </c>
      <c r="C32" s="16">
        <v>0</v>
      </c>
      <c r="D32" s="16">
        <v>20543.291177948799</v>
      </c>
      <c r="E32" s="5">
        <f t="shared" si="3"/>
        <v>0</v>
      </c>
      <c r="F32" s="16">
        <v>0</v>
      </c>
      <c r="G32" s="16">
        <v>247.36580045799997</v>
      </c>
      <c r="H32" s="5">
        <f t="shared" si="4"/>
        <v>0</v>
      </c>
      <c r="I32" s="16">
        <v>0</v>
      </c>
      <c r="J32" s="16">
        <v>210.21647368436084</v>
      </c>
      <c r="K32" s="13" t="str">
        <f t="shared" ref="K32:K33" si="24">IF(AND(I32&gt;0,J32&gt;0),I32/J32,"N.A")</f>
        <v>N.A</v>
      </c>
      <c r="L32" s="13">
        <f t="shared" si="5"/>
        <v>0</v>
      </c>
      <c r="M32" s="13" t="str">
        <f t="shared" si="6"/>
        <v>N.A</v>
      </c>
      <c r="N32" s="16">
        <v>0</v>
      </c>
      <c r="O32" s="16">
        <v>202.89901890900001</v>
      </c>
      <c r="P32" s="5">
        <f t="shared" si="23"/>
        <v>0</v>
      </c>
      <c r="Q32" s="16">
        <v>0</v>
      </c>
      <c r="R32" s="16">
        <v>174.8119664041181</v>
      </c>
      <c r="S32" s="13" t="str">
        <f t="shared" si="1"/>
        <v>N.A</v>
      </c>
      <c r="T32" s="16">
        <v>0</v>
      </c>
      <c r="U32" s="16">
        <v>23530.792451695001</v>
      </c>
      <c r="V32" s="5">
        <f t="shared" si="8"/>
        <v>0</v>
      </c>
      <c r="W32" s="16">
        <v>0</v>
      </c>
      <c r="X32" s="16">
        <v>3116.4296211501837</v>
      </c>
      <c r="Y32" s="5">
        <f t="shared" si="9"/>
        <v>0</v>
      </c>
      <c r="Z32" s="16">
        <v>0</v>
      </c>
      <c r="AA32" s="16">
        <v>2310.2620574361854</v>
      </c>
      <c r="AB32" s="13" t="str">
        <f t="shared" si="2"/>
        <v>N.A</v>
      </c>
      <c r="AC32" s="13">
        <f t="shared" si="10"/>
        <v>0</v>
      </c>
      <c r="AD32" s="13" t="str">
        <f t="shared" si="11"/>
        <v>N.A</v>
      </c>
    </row>
    <row r="33" spans="1:30" ht="12.75" hidden="1" customHeight="1" outlineLevel="2" x14ac:dyDescent="0.3">
      <c r="A33" s="4"/>
      <c r="B33" s="4" t="s">
        <v>40</v>
      </c>
      <c r="C33" s="16">
        <v>0</v>
      </c>
      <c r="D33" s="16">
        <v>26927.670617000698</v>
      </c>
      <c r="E33" s="5">
        <f t="shared" si="3"/>
        <v>0</v>
      </c>
      <c r="F33" s="16">
        <v>0</v>
      </c>
      <c r="G33" s="16">
        <v>210.94161634994751</v>
      </c>
      <c r="H33" s="5">
        <f t="shared" si="4"/>
        <v>0</v>
      </c>
      <c r="I33" s="16">
        <v>0</v>
      </c>
      <c r="J33" s="16">
        <v>73.261042574189815</v>
      </c>
      <c r="K33" s="13" t="str">
        <f t="shared" si="24"/>
        <v>N.A</v>
      </c>
      <c r="L33" s="13">
        <f t="shared" si="5"/>
        <v>0</v>
      </c>
      <c r="M33" s="13" t="str">
        <f t="shared" si="6"/>
        <v>N.A</v>
      </c>
      <c r="N33" s="16">
        <v>0</v>
      </c>
      <c r="O33" s="16">
        <v>177.20243628694749</v>
      </c>
      <c r="P33" s="5">
        <f t="shared" si="23"/>
        <v>0</v>
      </c>
      <c r="Q33" s="16">
        <v>0</v>
      </c>
      <c r="R33" s="16">
        <v>72.947376035298788</v>
      </c>
      <c r="S33" s="13" t="str">
        <f t="shared" si="1"/>
        <v>N.A</v>
      </c>
      <c r="T33" s="16">
        <v>0</v>
      </c>
      <c r="U33" s="16">
        <v>31042.200704266499</v>
      </c>
      <c r="V33" s="5">
        <f t="shared" si="8"/>
        <v>0</v>
      </c>
      <c r="W33" s="16">
        <v>0</v>
      </c>
      <c r="X33" s="16">
        <v>3337.3823293401383</v>
      </c>
      <c r="Y33" s="5">
        <f t="shared" si="9"/>
        <v>0</v>
      </c>
      <c r="Z33" s="16">
        <v>0</v>
      </c>
      <c r="AA33" s="16">
        <v>1048.7817739110169</v>
      </c>
      <c r="AB33" s="13" t="str">
        <f t="shared" si="2"/>
        <v>N.A</v>
      </c>
      <c r="AC33" s="13">
        <f t="shared" si="10"/>
        <v>0</v>
      </c>
      <c r="AD33" s="13" t="str">
        <f t="shared" si="11"/>
        <v>N.A</v>
      </c>
    </row>
    <row r="34" spans="1:30" outlineLevel="1" collapsed="1" x14ac:dyDescent="0.3">
      <c r="A34" s="6" t="s">
        <v>41</v>
      </c>
      <c r="B34" s="6"/>
      <c r="C34" s="17">
        <f>SUM(C32:C33)</f>
        <v>0</v>
      </c>
      <c r="D34" s="17">
        <f>SUM(D32:D33)</f>
        <v>47470.9617949495</v>
      </c>
      <c r="E34" s="7">
        <f t="shared" si="3"/>
        <v>0</v>
      </c>
      <c r="F34" s="17">
        <f>SUM(F32:F33)</f>
        <v>0</v>
      </c>
      <c r="G34" s="17">
        <f>SUM(G32:G33)</f>
        <v>458.30741680794745</v>
      </c>
      <c r="H34" s="7">
        <f t="shared" si="4"/>
        <v>0</v>
      </c>
      <c r="I34" s="17">
        <f>SUM(I32:I33)</f>
        <v>0</v>
      </c>
      <c r="J34" s="17">
        <f>SUM(J32:J33)</f>
        <v>283.47751625855062</v>
      </c>
      <c r="K34" s="12" t="str">
        <f t="shared" si="0"/>
        <v>N.A</v>
      </c>
      <c r="L34" s="12">
        <f t="shared" si="5"/>
        <v>0</v>
      </c>
      <c r="M34" s="12" t="str">
        <f t="shared" si="6"/>
        <v>N.A</v>
      </c>
      <c r="N34" s="17">
        <f>SUM(N32:N33)</f>
        <v>0</v>
      </c>
      <c r="O34" s="17">
        <f>SUM(O32:O33)</f>
        <v>380.10145519594749</v>
      </c>
      <c r="P34" s="7">
        <f t="shared" si="23"/>
        <v>0</v>
      </c>
      <c r="Q34" s="17">
        <f>SUM(Q32:Q33)</f>
        <v>0</v>
      </c>
      <c r="R34" s="17">
        <f>SUM(R32:R33)</f>
        <v>247.75934243941688</v>
      </c>
      <c r="S34" s="12" t="str">
        <f t="shared" si="1"/>
        <v>N.A</v>
      </c>
      <c r="T34" s="17">
        <f>SUM(T32:T33)</f>
        <v>0</v>
      </c>
      <c r="U34" s="17">
        <f>SUM(U32:U33)</f>
        <v>54572.9931559615</v>
      </c>
      <c r="V34" s="7">
        <f t="shared" si="8"/>
        <v>0</v>
      </c>
      <c r="W34" s="17">
        <f>SUM(W32:W33)</f>
        <v>0</v>
      </c>
      <c r="X34" s="17">
        <f>SUM(X32:X33)</f>
        <v>6453.8119504903225</v>
      </c>
      <c r="Y34" s="7">
        <f t="shared" si="9"/>
        <v>0</v>
      </c>
      <c r="Z34" s="17">
        <f>SUM(Z32:Z33)</f>
        <v>0</v>
      </c>
      <c r="AA34" s="17">
        <f>SUM(AA32:AA33)</f>
        <v>3359.0438313472023</v>
      </c>
      <c r="AB34" s="12" t="str">
        <f t="shared" si="2"/>
        <v>N.A</v>
      </c>
      <c r="AC34" s="12">
        <f t="shared" si="10"/>
        <v>0</v>
      </c>
      <c r="AD34" s="12" t="str">
        <f t="shared" si="11"/>
        <v>N.A</v>
      </c>
    </row>
    <row r="35" spans="1:30" ht="12.75" hidden="1" customHeight="1" outlineLevel="2" x14ac:dyDescent="0.3">
      <c r="A35" s="4" t="s">
        <v>42</v>
      </c>
      <c r="B35" s="4" t="s">
        <v>285</v>
      </c>
      <c r="C35" s="16">
        <v>13373.790013813499</v>
      </c>
      <c r="D35" s="16">
        <v>693805.15162680193</v>
      </c>
      <c r="E35" s="5">
        <f>IFERROR(C35/D35,)</f>
        <v>1.9276002754455283E-2</v>
      </c>
      <c r="F35" s="16">
        <v>199.159769125</v>
      </c>
      <c r="G35" s="16">
        <v>6142.9583688829998</v>
      </c>
      <c r="H35" s="5">
        <f>IFERROR(F35/G35,)</f>
        <v>3.2420823512957338E-2</v>
      </c>
      <c r="I35" s="16">
        <v>-228.55038676799998</v>
      </c>
      <c r="J35" s="16">
        <v>2838.6032811900009</v>
      </c>
      <c r="K35" s="13" t="str">
        <f t="shared" ref="K35" si="25">IF(AND(I35&gt;0,J35&gt;0),I35/J35,"N.A")</f>
        <v>N.A</v>
      </c>
      <c r="L35" s="13">
        <f t="shared" si="5"/>
        <v>1.3144820758502054E-2</v>
      </c>
      <c r="M35" s="13" t="str">
        <f t="shared" si="6"/>
        <v>N.A</v>
      </c>
      <c r="N35" s="16">
        <v>139.46523317499998</v>
      </c>
      <c r="O35" s="16">
        <v>4382.3211502509994</v>
      </c>
      <c r="P35" s="5">
        <f>IFERROR(N35/O35,)</f>
        <v>3.1824512260360482E-2</v>
      </c>
      <c r="Q35" s="16">
        <v>-270.45636309600002</v>
      </c>
      <c r="R35" s="16">
        <v>1721.2521969829995</v>
      </c>
      <c r="S35" s="13" t="str">
        <f t="shared" si="1"/>
        <v>N.A</v>
      </c>
      <c r="T35" s="16">
        <v>13798.0306905326</v>
      </c>
      <c r="U35" s="16">
        <v>722038.40569212101</v>
      </c>
      <c r="V35" s="5">
        <f t="shared" si="8"/>
        <v>1.9109829313450833E-2</v>
      </c>
      <c r="W35" s="16">
        <v>8090.5350662450001</v>
      </c>
      <c r="X35" s="16">
        <v>23876.571160438009</v>
      </c>
      <c r="Y35" s="5">
        <f t="shared" si="9"/>
        <v>0.33884827984222932</v>
      </c>
      <c r="Z35" s="16">
        <v>1392.3975198180094</v>
      </c>
      <c r="AA35" s="16">
        <v>16017.473449130001</v>
      </c>
      <c r="AB35" s="13">
        <f t="shared" si="2"/>
        <v>8.6929909653987184E-2</v>
      </c>
      <c r="AC35" s="13">
        <f t="shared" si="10"/>
        <v>0.31973845052877847</v>
      </c>
      <c r="AD35" s="13">
        <f t="shared" si="11"/>
        <v>6.7820080340536354E-2</v>
      </c>
    </row>
    <row r="36" spans="1:30" outlineLevel="1" collapsed="1" x14ac:dyDescent="0.3">
      <c r="A36" s="6" t="s">
        <v>43</v>
      </c>
      <c r="B36" s="6"/>
      <c r="C36" s="17">
        <f>C35</f>
        <v>13373.790013813499</v>
      </c>
      <c r="D36" s="17">
        <f>D35</f>
        <v>693805.15162680193</v>
      </c>
      <c r="E36" s="7">
        <f t="shared" si="3"/>
        <v>1.9276002754455283E-2</v>
      </c>
      <c r="F36" s="17">
        <f>F35</f>
        <v>199.159769125</v>
      </c>
      <c r="G36" s="17">
        <f>G35</f>
        <v>6142.9583688829998</v>
      </c>
      <c r="H36" s="7">
        <f t="shared" si="4"/>
        <v>3.2420823512957338E-2</v>
      </c>
      <c r="I36" s="17">
        <f>I35</f>
        <v>-228.55038676799998</v>
      </c>
      <c r="J36" s="17">
        <f>J35</f>
        <v>2838.6032811900009</v>
      </c>
      <c r="K36" s="12" t="str">
        <f t="shared" si="0"/>
        <v>N.A</v>
      </c>
      <c r="L36" s="12">
        <f t="shared" si="5"/>
        <v>1.3144820758502054E-2</v>
      </c>
      <c r="M36" s="12" t="str">
        <f t="shared" si="6"/>
        <v>N.A</v>
      </c>
      <c r="N36" s="17">
        <f>N35</f>
        <v>139.46523317499998</v>
      </c>
      <c r="O36" s="17">
        <f>O35</f>
        <v>4382.3211502509994</v>
      </c>
      <c r="P36" s="7">
        <f t="shared" ref="P36:P45" si="26">IFERROR(N36/O36,)</f>
        <v>3.1824512260360482E-2</v>
      </c>
      <c r="Q36" s="17">
        <f>Q35</f>
        <v>-270.45636309600002</v>
      </c>
      <c r="R36" s="17">
        <f>R35</f>
        <v>1721.2521969829995</v>
      </c>
      <c r="S36" s="12" t="str">
        <f t="shared" si="1"/>
        <v>N.A</v>
      </c>
      <c r="T36" s="17">
        <f>T35</f>
        <v>13798.0306905326</v>
      </c>
      <c r="U36" s="17">
        <f>U35</f>
        <v>722038.40569212101</v>
      </c>
      <c r="V36" s="7">
        <f t="shared" si="8"/>
        <v>1.9109829313450833E-2</v>
      </c>
      <c r="W36" s="17">
        <f>W35</f>
        <v>8090.5350662450001</v>
      </c>
      <c r="X36" s="17">
        <f>X35</f>
        <v>23876.571160438009</v>
      </c>
      <c r="Y36" s="7">
        <f t="shared" si="9"/>
        <v>0.33884827984222932</v>
      </c>
      <c r="Z36" s="17">
        <f>Z35</f>
        <v>1392.3975198180094</v>
      </c>
      <c r="AA36" s="17">
        <f>AA35</f>
        <v>16017.473449130001</v>
      </c>
      <c r="AB36" s="12">
        <f t="shared" si="2"/>
        <v>8.6929909653987184E-2</v>
      </c>
      <c r="AC36" s="12">
        <f t="shared" si="10"/>
        <v>0.31973845052877847</v>
      </c>
      <c r="AD36" s="12">
        <f t="shared" si="11"/>
        <v>6.7820080340536354E-2</v>
      </c>
    </row>
    <row r="37" spans="1:30" outlineLevel="1" x14ac:dyDescent="0.3">
      <c r="A37" s="6" t="s">
        <v>94</v>
      </c>
      <c r="B37" s="6"/>
      <c r="C37" s="17">
        <f>C11+C13+C16+C29+C31+C34</f>
        <v>288770.57243120152</v>
      </c>
      <c r="D37" s="17">
        <f>D11+D13+D16+D29+D31+D34</f>
        <v>3920233.3803441576</v>
      </c>
      <c r="E37" s="7">
        <f t="shared" si="3"/>
        <v>7.3661576853837799E-2</v>
      </c>
      <c r="F37" s="17">
        <f>F11+F13+F16+F29+F31+F34</f>
        <v>4243.8249151130003</v>
      </c>
      <c r="G37" s="17">
        <f>G11+G13+G16+G29+G31+G34</f>
        <v>63004.400981207691</v>
      </c>
      <c r="H37" s="7">
        <f t="shared" si="4"/>
        <v>6.7357594850855018E-2</v>
      </c>
      <c r="I37" s="17">
        <f>I11+I13+I16+I29+I31+I34</f>
        <v>2025.6768912370298</v>
      </c>
      <c r="J37" s="17">
        <f>J11+J13+J16+J29+J31+J34</f>
        <v>25994.837835283743</v>
      </c>
      <c r="K37" s="12">
        <f t="shared" si="0"/>
        <v>7.7926121488917491E-2</v>
      </c>
      <c r="L37" s="12">
        <f t="shared" si="5"/>
        <v>-6.3039820029827803E-3</v>
      </c>
      <c r="M37" s="12">
        <f t="shared" si="6"/>
        <v>4.2645446350796923E-3</v>
      </c>
      <c r="N37" s="17">
        <f>N11+N13+N16+N29+N31+N34</f>
        <v>3453.563793160999</v>
      </c>
      <c r="O37" s="17">
        <f>O11+O13+O16+O29+O31+O34</f>
        <v>51916.033310253988</v>
      </c>
      <c r="P37" s="7">
        <f t="shared" si="26"/>
        <v>6.6522104501363782E-2</v>
      </c>
      <c r="Q37" s="17">
        <f>Q11+Q13+Q16+Q29+Q31+Q34</f>
        <v>1829.4761133766879</v>
      </c>
      <c r="R37" s="17">
        <f>R11+R13+R16+R29+R31+R34</f>
        <v>23322.923404064586</v>
      </c>
      <c r="S37" s="12">
        <f t="shared" si="1"/>
        <v>7.8441114850030219E-2</v>
      </c>
      <c r="T37" s="17">
        <f>T12+T14+T17+T29+T31+T34</f>
        <v>230943.6962594841</v>
      </c>
      <c r="U37" s="17">
        <f>U12+U14+U17+U29+U31+U34</f>
        <v>3646979.2059415281</v>
      </c>
      <c r="V37" s="7">
        <f t="shared" si="8"/>
        <v>6.3324653972043191E-2</v>
      </c>
      <c r="W37" s="17">
        <f>W11+W13+W16+W29+W31+W34</f>
        <v>58466.905623640014</v>
      </c>
      <c r="X37" s="17">
        <f>X11+X13+X16+X29+X31+X34</f>
        <v>1008541.0679138033</v>
      </c>
      <c r="Y37" s="7">
        <f t="shared" si="9"/>
        <v>5.7971764843032639E-2</v>
      </c>
      <c r="Z37" s="17">
        <f>Z11+Z13+Z16+Z29+Z31+Z34</f>
        <v>29824.738647514161</v>
      </c>
      <c r="AA37" s="17">
        <f>AA11+AA13+AA16+AA29+AA31+AA34</f>
        <v>485582.86524468579</v>
      </c>
      <c r="AB37" s="12">
        <f t="shared" si="2"/>
        <v>6.1420492324179191E-2</v>
      </c>
      <c r="AC37" s="12">
        <f t="shared" si="10"/>
        <v>-5.3528891290105518E-3</v>
      </c>
      <c r="AD37" s="12">
        <f t="shared" si="11"/>
        <v>-1.904161647864E-3</v>
      </c>
    </row>
    <row r="38" spans="1:30" ht="14.5" x14ac:dyDescent="0.35">
      <c r="A38" s="8" t="s">
        <v>21</v>
      </c>
      <c r="B38" s="8"/>
      <c r="C38" s="18">
        <f>C36+C34+C31+C29+C16+C13+C11+C9+C7</f>
        <v>384332.15030312288</v>
      </c>
      <c r="D38" s="18">
        <f>D36+D34+D31+D29+D16+D13+D11+D9+D7</f>
        <v>4952198.5382967209</v>
      </c>
      <c r="E38" s="9">
        <f t="shared" si="3"/>
        <v>7.7608388947045651E-2</v>
      </c>
      <c r="F38" s="18">
        <f>F36+F34+F31+F29+F16+F13+F11+F9+F7</f>
        <v>10522.939412684998</v>
      </c>
      <c r="G38" s="18">
        <f>G36+G34+G31+G29+G16+G13+G11+G9+G7</f>
        <v>92894.221511131735</v>
      </c>
      <c r="H38" s="9">
        <f t="shared" si="4"/>
        <v>0.11327872973696226</v>
      </c>
      <c r="I38" s="18">
        <f>I36+I34+I31+I29+I16+I13+I11+I9+I7</f>
        <v>3787.2191021324725</v>
      </c>
      <c r="J38" s="18">
        <f>J36+J34+J31+J29+J16+J13+J11+J9+J7</f>
        <v>33716.742964907862</v>
      </c>
      <c r="K38" s="14">
        <f t="shared" si="0"/>
        <v>0.11232458325153714</v>
      </c>
      <c r="L38" s="14">
        <f t="shared" si="5"/>
        <v>3.5670340789916613E-2</v>
      </c>
      <c r="M38" s="14">
        <f t="shared" si="6"/>
        <v>3.4716194304491493E-2</v>
      </c>
      <c r="N38" s="18">
        <f>N36+N34+N31+N29+N16+N13+N11+N9+N7</f>
        <v>8675.3256922529999</v>
      </c>
      <c r="O38" s="18">
        <f>O36+O34+O31+O29+O16+O13+O11+O9+O7</f>
        <v>75510.438868243829</v>
      </c>
      <c r="P38" s="9">
        <f t="shared" si="26"/>
        <v>0.11488909112805379</v>
      </c>
      <c r="Q38" s="18">
        <f>Q36+Q34+Q31+Q29+Q16+Q13+Q11+Q9+Q7</f>
        <v>3291.2654174987852</v>
      </c>
      <c r="R38" s="18">
        <f>R36+R34+R31+R29+R16+R13+R11+R9+R7</f>
        <v>29790.683520214789</v>
      </c>
      <c r="S38" s="14">
        <f t="shared" si="1"/>
        <v>0.11047968789522609</v>
      </c>
      <c r="T38" s="18">
        <f>T36+T34+T31+T29+T16+T13+T11+T9+T7</f>
        <v>337703.70081033534</v>
      </c>
      <c r="U38" s="18">
        <f>U36+U34+U31+U29+U16+U13+U11+U9+U7</f>
        <v>4935927.5317084547</v>
      </c>
      <c r="V38" s="9">
        <f t="shared" si="8"/>
        <v>6.8417475467563674E-2</v>
      </c>
      <c r="W38" s="18">
        <f>W36+W34+W31+W29+W16+W13+W11+W9+W7</f>
        <v>127090.53112868304</v>
      </c>
      <c r="X38" s="18">
        <f>X36+X34+X31+X29+X16+X13+X11+X9+X7</f>
        <v>1354092.9894675701</v>
      </c>
      <c r="Y38" s="9">
        <f t="shared" si="9"/>
        <v>9.3856575668894854E-2</v>
      </c>
      <c r="Z38" s="18">
        <f>Z36+Z34+Z31+Z29+Z16+Z13+Z11+Z9+Z7</f>
        <v>34884.631517647205</v>
      </c>
      <c r="AA38" s="18">
        <f>AA36+AA34+AA31+AA29+AA16+AA13+AA11+AA9+AA7</f>
        <v>552838.35223731841</v>
      </c>
      <c r="AB38" s="14">
        <f t="shared" si="2"/>
        <v>6.3100961386760274E-2</v>
      </c>
      <c r="AC38" s="14">
        <f t="shared" si="10"/>
        <v>2.543910020133118E-2</v>
      </c>
      <c r="AD38" s="14">
        <f t="shared" si="11"/>
        <v>-5.3165140808034E-3</v>
      </c>
    </row>
    <row r="39" spans="1:30" ht="12.75" hidden="1" customHeight="1" outlineLevel="2" x14ac:dyDescent="0.3">
      <c r="A39" s="4" t="s">
        <v>44</v>
      </c>
      <c r="B39" s="4" t="s">
        <v>46</v>
      </c>
      <c r="C39" s="16">
        <v>40045.366157577897</v>
      </c>
      <c r="D39" s="16">
        <v>521288.27270360902</v>
      </c>
      <c r="E39" s="5">
        <f t="shared" si="3"/>
        <v>7.6820002011337499E-2</v>
      </c>
      <c r="F39" s="16">
        <v>26659.155054560997</v>
      </c>
      <c r="G39" s="16">
        <v>310236.15078770404</v>
      </c>
      <c r="H39" s="5">
        <f t="shared" si="4"/>
        <v>8.5931813513261304E-2</v>
      </c>
      <c r="I39" s="16">
        <v>-2573.0121528240038</v>
      </c>
      <c r="J39" s="16">
        <v>-16268.437950352389</v>
      </c>
      <c r="K39" s="13" t="str">
        <f t="shared" ref="K39:K40" si="27">IF(AND(I39&gt;0,J39&gt;0),I39/J39,"N.A")</f>
        <v>N.A</v>
      </c>
      <c r="L39" s="13">
        <f t="shared" si="5"/>
        <v>9.1118115019238055E-3</v>
      </c>
      <c r="M39" s="13" t="str">
        <f t="shared" si="6"/>
        <v>N.A</v>
      </c>
      <c r="N39" s="16">
        <v>18351.351457140001</v>
      </c>
      <c r="O39" s="16">
        <v>238098.57498477557</v>
      </c>
      <c r="P39" s="5">
        <f t="shared" si="26"/>
        <v>7.7074595924454481E-2</v>
      </c>
      <c r="Q39" s="16">
        <v>169.72872940300064</v>
      </c>
      <c r="R39" s="16">
        <v>16691.871943282138</v>
      </c>
      <c r="S39" s="13">
        <f t="shared" si="1"/>
        <v>1.016834600575223E-2</v>
      </c>
      <c r="T39" s="16">
        <v>36087.851985347901</v>
      </c>
      <c r="U39" s="16">
        <v>500270.82618282997</v>
      </c>
      <c r="V39" s="5">
        <f t="shared" si="8"/>
        <v>7.2136630993867232E-2</v>
      </c>
      <c r="W39" s="16">
        <v>367333.61558613455</v>
      </c>
      <c r="X39" s="16">
        <v>4970600.9467372252</v>
      </c>
      <c r="Y39" s="5">
        <f t="shared" si="9"/>
        <v>7.390124846518964E-2</v>
      </c>
      <c r="Z39" s="16">
        <v>-2656.0370681480554</v>
      </c>
      <c r="AA39" s="16">
        <v>48111.515900403152</v>
      </c>
      <c r="AB39" s="13" t="str">
        <f t="shared" si="2"/>
        <v>N.A</v>
      </c>
      <c r="AC39" s="13">
        <f t="shared" si="10"/>
        <v>1.7646174713224078E-3</v>
      </c>
      <c r="AD39" s="13" t="str">
        <f t="shared" si="11"/>
        <v>N.A</v>
      </c>
    </row>
    <row r="40" spans="1:30" ht="12.75" hidden="1" customHeight="1" outlineLevel="2" x14ac:dyDescent="0.3">
      <c r="A40" s="4"/>
      <c r="B40" s="4" t="s">
        <v>47</v>
      </c>
      <c r="C40" s="16">
        <v>7843.79761181711</v>
      </c>
      <c r="D40" s="16">
        <v>101626.76143999699</v>
      </c>
      <c r="E40" s="5">
        <f t="shared" si="3"/>
        <v>7.7182402554944018E-2</v>
      </c>
      <c r="F40" s="16">
        <v>36637.294256633002</v>
      </c>
      <c r="G40" s="16">
        <v>527695.61395478272</v>
      </c>
      <c r="H40" s="5">
        <f t="shared" si="4"/>
        <v>6.942883982312649E-2</v>
      </c>
      <c r="I40" s="16">
        <v>322.12576099499972</v>
      </c>
      <c r="J40" s="16">
        <v>6146.7252551786769</v>
      </c>
      <c r="K40" s="13">
        <f t="shared" si="27"/>
        <v>5.2406077646565637E-2</v>
      </c>
      <c r="L40" s="13">
        <f t="shared" si="5"/>
        <v>-7.7535627318175288E-3</v>
      </c>
      <c r="M40" s="13">
        <f t="shared" si="6"/>
        <v>-2.4776324908378382E-2</v>
      </c>
      <c r="N40" s="16">
        <v>28269.473826740999</v>
      </c>
      <c r="O40" s="16">
        <v>417197.30420351168</v>
      </c>
      <c r="P40" s="5">
        <f t="shared" si="26"/>
        <v>6.7760442222203232E-2</v>
      </c>
      <c r="Q40" s="16">
        <v>2495.0429705209976</v>
      </c>
      <c r="R40" s="16">
        <v>18544.000324434699</v>
      </c>
      <c r="S40" s="13">
        <f t="shared" si="1"/>
        <v>0.1345471811297036</v>
      </c>
      <c r="T40" s="16">
        <v>6260.52911370321</v>
      </c>
      <c r="U40" s="16">
        <v>78602.989651164899</v>
      </c>
      <c r="V40" s="5">
        <f t="shared" si="8"/>
        <v>7.9647468136861493E-2</v>
      </c>
      <c r="W40" s="16">
        <v>501661.65779862419</v>
      </c>
      <c r="X40" s="16">
        <v>6958547.0203883434</v>
      </c>
      <c r="Y40" s="5">
        <f t="shared" si="9"/>
        <v>7.2092874608559787E-2</v>
      </c>
      <c r="Z40" s="16">
        <v>437.23818240200228</v>
      </c>
      <c r="AA40" s="16">
        <v>13371.317307669029</v>
      </c>
      <c r="AB40" s="13">
        <f t="shared" si="2"/>
        <v>3.2699708812625905E-2</v>
      </c>
      <c r="AC40" s="13">
        <f t="shared" si="10"/>
        <v>-7.5545935283017063E-3</v>
      </c>
      <c r="AD40" s="13">
        <f t="shared" si="11"/>
        <v>-4.6947759324235588E-2</v>
      </c>
    </row>
    <row r="41" spans="1:30" outlineLevel="1" collapsed="1" x14ac:dyDescent="0.3">
      <c r="A41" s="6" t="s">
        <v>48</v>
      </c>
      <c r="B41" s="6"/>
      <c r="C41" s="17">
        <f>SUM(C39:C40)</f>
        <v>47889.163769395003</v>
      </c>
      <c r="D41" s="17">
        <f>SUM(D39:D40)</f>
        <v>622915.03414360597</v>
      </c>
      <c r="E41" s="7">
        <f t="shared" si="3"/>
        <v>7.6879126597472203E-2</v>
      </c>
      <c r="F41" s="17">
        <f>SUM(F39:F40)</f>
        <v>63296.449311193996</v>
      </c>
      <c r="G41" s="17">
        <f>SUM(G39:G40)</f>
        <v>837931.76474248676</v>
      </c>
      <c r="H41" s="7">
        <f t="shared" si="4"/>
        <v>7.553890659658459E-2</v>
      </c>
      <c r="I41" s="17">
        <f>SUM(I39:I40)</f>
        <v>-2250.886391829004</v>
      </c>
      <c r="J41" s="17">
        <f>SUM(J39:J40)</f>
        <v>-10121.712695173712</v>
      </c>
      <c r="K41" s="12" t="str">
        <f t="shared" si="0"/>
        <v>N.A</v>
      </c>
      <c r="L41" s="12">
        <f t="shared" si="5"/>
        <v>-1.3402200008876125E-3</v>
      </c>
      <c r="M41" s="12" t="str">
        <f t="shared" si="6"/>
        <v>N.A</v>
      </c>
      <c r="N41" s="17">
        <f>SUM(N39:N40)</f>
        <v>46620.825283881</v>
      </c>
      <c r="O41" s="17">
        <f>SUM(O39:O40)</f>
        <v>655295.8791882873</v>
      </c>
      <c r="P41" s="7">
        <f t="shared" si="26"/>
        <v>7.1144694731836336E-2</v>
      </c>
      <c r="Q41" s="17">
        <f>SUM(Q39:Q40)</f>
        <v>2664.7716999239983</v>
      </c>
      <c r="R41" s="17">
        <f>SUM(R39:R40)</f>
        <v>35235.872267716841</v>
      </c>
      <c r="S41" s="12">
        <f t="shared" si="1"/>
        <v>7.5626670447590028E-2</v>
      </c>
      <c r="T41" s="17">
        <f>SUM(T39:T40)</f>
        <v>42348.381099051112</v>
      </c>
      <c r="U41" s="17">
        <f>SUM(U39:U40)</f>
        <v>578873.81583399489</v>
      </c>
      <c r="V41" s="7">
        <f t="shared" si="8"/>
        <v>7.3156497911447196E-2</v>
      </c>
      <c r="W41" s="17">
        <f>SUM(W39:W40)</f>
        <v>868995.27338475874</v>
      </c>
      <c r="X41" s="17">
        <f>SUM(X39:X40)</f>
        <v>11929147.967125569</v>
      </c>
      <c r="Y41" s="7">
        <f t="shared" si="9"/>
        <v>7.284638230488398E-2</v>
      </c>
      <c r="Z41" s="17">
        <f>SUM(Z39:Z40)</f>
        <v>-2218.7988857460532</v>
      </c>
      <c r="AA41" s="17">
        <f>SUM(AA39:AA40)</f>
        <v>61482.833208072181</v>
      </c>
      <c r="AB41" s="12" t="str">
        <f t="shared" si="2"/>
        <v>N.A</v>
      </c>
      <c r="AC41" s="12">
        <f t="shared" si="10"/>
        <v>-3.1011560656321602E-4</v>
      </c>
      <c r="AD41" s="12" t="str">
        <f t="shared" si="11"/>
        <v>N.A</v>
      </c>
    </row>
    <row r="42" spans="1:30" ht="12.75" hidden="1" customHeight="1" outlineLevel="2" x14ac:dyDescent="0.3">
      <c r="A42" s="4" t="s">
        <v>287</v>
      </c>
      <c r="B42" s="4" t="s">
        <v>50</v>
      </c>
      <c r="C42" s="16">
        <v>14898.276982542</v>
      </c>
      <c r="D42" s="16">
        <v>172112.53980641</v>
      </c>
      <c r="E42" s="5">
        <f t="shared" si="3"/>
        <v>8.6561252302123901E-2</v>
      </c>
      <c r="F42" s="16">
        <v>61.204928550000005</v>
      </c>
      <c r="G42" s="16">
        <v>1691.6496895499999</v>
      </c>
      <c r="H42" s="5">
        <f t="shared" si="4"/>
        <v>3.6180616429091345E-2</v>
      </c>
      <c r="I42" s="16">
        <v>-19.402214649999998</v>
      </c>
      <c r="J42" s="16">
        <v>161.29867931299989</v>
      </c>
      <c r="K42" s="13" t="str">
        <f t="shared" ref="K42:K44" si="28">IF(AND(I42&gt;0,J42&gt;0),I42/J42,"N.A")</f>
        <v>N.A</v>
      </c>
      <c r="L42" s="13">
        <f t="shared" ref="L42:L44" si="29">H42-E42</f>
        <v>-5.0380635873032556E-2</v>
      </c>
      <c r="M42" s="13" t="str">
        <f t="shared" ref="M42:M44" si="30">IF(K42="N.A","N.A",K42-E42)</f>
        <v>N.A</v>
      </c>
      <c r="N42" s="16">
        <v>50.702483399999998</v>
      </c>
      <c r="O42" s="16">
        <v>1480.9668535000001</v>
      </c>
      <c r="P42" s="5">
        <f t="shared" si="26"/>
        <v>3.4236069011385199E-2</v>
      </c>
      <c r="Q42" s="16">
        <v>-29.904659800000001</v>
      </c>
      <c r="R42" s="16">
        <v>203.99489535900008</v>
      </c>
      <c r="S42" s="13" t="str">
        <f t="shared" si="1"/>
        <v>N.A</v>
      </c>
      <c r="T42" s="16">
        <v>7437.792408192</v>
      </c>
      <c r="U42" s="16">
        <v>61163.3553754889</v>
      </c>
      <c r="V42" s="5">
        <f t="shared" si="8"/>
        <v>0.12160536913860487</v>
      </c>
      <c r="W42" s="16">
        <v>3219.0190695499996</v>
      </c>
      <c r="X42" s="16">
        <v>7013.2235748399999</v>
      </c>
      <c r="Y42" s="5">
        <f t="shared" si="9"/>
        <v>0.45899279200199156</v>
      </c>
      <c r="Z42" s="16">
        <v>2220.0212271509999</v>
      </c>
      <c r="AA42" s="16">
        <v>4117.5752023160003</v>
      </c>
      <c r="AB42" s="13">
        <f t="shared" si="2"/>
        <v>0.53915742107206965</v>
      </c>
      <c r="AC42" s="13">
        <f t="shared" si="10"/>
        <v>0.33738742286338669</v>
      </c>
      <c r="AD42" s="13">
        <f t="shared" si="11"/>
        <v>0.41755205193346479</v>
      </c>
    </row>
    <row r="43" spans="1:30" ht="12.75" hidden="1" customHeight="1" outlineLevel="2" x14ac:dyDescent="0.3">
      <c r="A43" s="4"/>
      <c r="B43" s="4" t="s">
        <v>284</v>
      </c>
      <c r="C43" s="16">
        <v>1883.2167936682799</v>
      </c>
      <c r="D43" s="16">
        <v>29001.4734610835</v>
      </c>
      <c r="E43" s="5">
        <f t="shared" si="3"/>
        <v>6.4935210833178214E-2</v>
      </c>
      <c r="F43" s="16">
        <v>841.08986965699989</v>
      </c>
      <c r="G43" s="16">
        <v>3912.2821387839999</v>
      </c>
      <c r="H43" s="5">
        <f t="shared" si="4"/>
        <v>0.21498701776105139</v>
      </c>
      <c r="I43" s="16">
        <v>-98.875909609000075</v>
      </c>
      <c r="J43" s="16">
        <v>116.89574414199974</v>
      </c>
      <c r="K43" s="13" t="str">
        <f t="shared" si="28"/>
        <v>N.A</v>
      </c>
      <c r="L43" s="13">
        <f t="shared" si="29"/>
        <v>0.15005180692787318</v>
      </c>
      <c r="M43" s="13" t="str">
        <f t="shared" si="30"/>
        <v>N.A</v>
      </c>
      <c r="N43" s="16">
        <v>748.86018635800008</v>
      </c>
      <c r="O43" s="16">
        <v>3198.9808588430001</v>
      </c>
      <c r="P43" s="5">
        <f t="shared" si="26"/>
        <v>0.23409336266827369</v>
      </c>
      <c r="Q43" s="16">
        <v>32.134340274999992</v>
      </c>
      <c r="R43" s="16">
        <v>287.11352186199974</v>
      </c>
      <c r="S43" s="13">
        <f t="shared" si="1"/>
        <v>0.11192207203130358</v>
      </c>
      <c r="T43" s="16">
        <v>1357.8608786457</v>
      </c>
      <c r="U43" s="16">
        <v>47891.025617174797</v>
      </c>
      <c r="V43" s="5">
        <f t="shared" si="8"/>
        <v>2.835313842514036E-2</v>
      </c>
      <c r="W43" s="16">
        <v>6431.1558165080005</v>
      </c>
      <c r="X43" s="16">
        <v>10520.655673349</v>
      </c>
      <c r="Y43" s="5">
        <f t="shared" si="9"/>
        <v>0.61128849913788652</v>
      </c>
      <c r="Z43" s="16">
        <v>507.10148955399984</v>
      </c>
      <c r="AA43" s="16">
        <v>286.58767408000006</v>
      </c>
      <c r="AB43" s="13">
        <f t="shared" si="2"/>
        <v>1.7694462652027527</v>
      </c>
      <c r="AC43" s="13">
        <f t="shared" si="10"/>
        <v>0.58293536071274621</v>
      </c>
      <c r="AD43" s="13">
        <f t="shared" si="11"/>
        <v>1.7410931267776124</v>
      </c>
    </row>
    <row r="44" spans="1:30" ht="12.75" hidden="1" customHeight="1" outlineLevel="2" x14ac:dyDescent="0.3">
      <c r="A44" s="4"/>
      <c r="B44" s="4" t="s">
        <v>283</v>
      </c>
      <c r="C44" s="16">
        <v>3851.4390184875001</v>
      </c>
      <c r="D44" s="16">
        <v>81588.945209610902</v>
      </c>
      <c r="E44" s="5">
        <f t="shared" si="3"/>
        <v>4.7205402749021123E-2</v>
      </c>
      <c r="F44" s="16">
        <v>24.020898000000003</v>
      </c>
      <c r="G44" s="16">
        <v>479.27263925099999</v>
      </c>
      <c r="H44" s="5">
        <f t="shared" si="4"/>
        <v>5.0119485304939371E-2</v>
      </c>
      <c r="I44" s="16">
        <v>-2.9862389999999959</v>
      </c>
      <c r="J44" s="16">
        <v>-652.53304733300001</v>
      </c>
      <c r="K44" s="13" t="str">
        <f t="shared" si="28"/>
        <v>N.A</v>
      </c>
      <c r="L44" s="13">
        <f t="shared" si="29"/>
        <v>2.9140825559182473E-3</v>
      </c>
      <c r="M44" s="13" t="str">
        <f t="shared" si="30"/>
        <v>N.A</v>
      </c>
      <c r="N44" s="16">
        <v>14.873937000000002</v>
      </c>
      <c r="O44" s="16">
        <v>314.08665194099996</v>
      </c>
      <c r="P44" s="5">
        <f t="shared" si="26"/>
        <v>4.7356157633830352E-2</v>
      </c>
      <c r="Q44" s="16">
        <v>-12.133199999999997</v>
      </c>
      <c r="R44" s="16">
        <v>-738.89107786499994</v>
      </c>
      <c r="S44" s="13" t="str">
        <f t="shared" si="1"/>
        <v>N.A</v>
      </c>
      <c r="T44" s="16">
        <v>0</v>
      </c>
      <c r="U44" s="16">
        <v>72947.678902968299</v>
      </c>
      <c r="V44" s="5">
        <f t="shared" si="8"/>
        <v>0</v>
      </c>
      <c r="W44" s="16">
        <v>0</v>
      </c>
      <c r="X44" s="16">
        <v>1728.7310734299999</v>
      </c>
      <c r="Y44" s="5">
        <f t="shared" si="9"/>
        <v>0</v>
      </c>
      <c r="Z44" s="16">
        <v>0</v>
      </c>
      <c r="AA44" s="16">
        <v>-1151.741135109</v>
      </c>
      <c r="AB44" s="13" t="str">
        <f t="shared" si="2"/>
        <v>N.A</v>
      </c>
      <c r="AC44" s="13">
        <f t="shared" si="10"/>
        <v>0</v>
      </c>
      <c r="AD44" s="13" t="str">
        <f t="shared" si="11"/>
        <v>N.A</v>
      </c>
    </row>
    <row r="45" spans="1:30" outlineLevel="1" collapsed="1" x14ac:dyDescent="0.3">
      <c r="A45" s="6" t="s">
        <v>286</v>
      </c>
      <c r="B45" s="6"/>
      <c r="C45" s="17">
        <f>SUM(C42:C44)</f>
        <v>20632.932794697779</v>
      </c>
      <c r="D45" s="17">
        <f>SUM(D42:D44)</f>
        <v>282702.95847710443</v>
      </c>
      <c r="E45" s="7">
        <f t="shared" ref="E45" si="31">IFERROR(C45/D45,)</f>
        <v>7.2984495478383191E-2</v>
      </c>
      <c r="F45" s="17">
        <f t="shared" ref="F45:G45" si="32">SUM(F42:F44)</f>
        <v>926.31569620699986</v>
      </c>
      <c r="G45" s="17">
        <f t="shared" si="32"/>
        <v>6083.2044675850002</v>
      </c>
      <c r="H45" s="7">
        <f t="shared" ref="H45" si="33">IFERROR(F45/G45,)</f>
        <v>0.15227429903810916</v>
      </c>
      <c r="I45" s="17">
        <f t="shared" ref="I45:J45" si="34">SUM(I42:I44)</f>
        <v>-121.26436325900006</v>
      </c>
      <c r="J45" s="17">
        <f t="shared" si="34"/>
        <v>-374.33862387800036</v>
      </c>
      <c r="K45" s="12" t="str">
        <f t="shared" ref="K45:K81" si="35">IF(AND(I45&gt;0,J45&gt;0),I45/J45,"N.A")</f>
        <v>N.A</v>
      </c>
      <c r="L45" s="12">
        <f t="shared" ref="L45:L81" si="36">H45-E45</f>
        <v>7.9289803559725966E-2</v>
      </c>
      <c r="M45" s="12" t="str">
        <f t="shared" ref="M45:M81" si="37">IF(K45="N.A","N.A",K45-E45)</f>
        <v>N.A</v>
      </c>
      <c r="N45" s="17">
        <f t="shared" ref="N45:O45" si="38">SUM(N42:N44)</f>
        <v>814.43660675800004</v>
      </c>
      <c r="O45" s="17">
        <f t="shared" si="38"/>
        <v>4994.0343642840007</v>
      </c>
      <c r="P45" s="7">
        <f t="shared" si="26"/>
        <v>0.16308189879161286</v>
      </c>
      <c r="Q45" s="17">
        <f t="shared" ref="Q45:R45" si="39">SUM(Q42:Q44)</f>
        <v>-9.9035195250000054</v>
      </c>
      <c r="R45" s="17">
        <f t="shared" si="39"/>
        <v>-247.78266064400009</v>
      </c>
      <c r="S45" s="12" t="str">
        <f t="shared" si="1"/>
        <v>N.A</v>
      </c>
      <c r="T45" s="17">
        <f t="shared" ref="T45:U45" si="40">SUM(T42:T44)</f>
        <v>8795.6532868376999</v>
      </c>
      <c r="U45" s="17">
        <f t="shared" si="40"/>
        <v>182002.059895632</v>
      </c>
      <c r="V45" s="7">
        <f t="shared" si="8"/>
        <v>4.8327218339624917E-2</v>
      </c>
      <c r="W45" s="17">
        <f t="shared" ref="W45:X45" si="41">SUM(W42:W44)</f>
        <v>9650.174886058001</v>
      </c>
      <c r="X45" s="17">
        <f t="shared" si="41"/>
        <v>19262.610321618999</v>
      </c>
      <c r="Y45" s="7">
        <f t="shared" si="9"/>
        <v>0.50097960374702299</v>
      </c>
      <c r="Z45" s="17">
        <f t="shared" ref="Z45:AA45" si="42">SUM(Z42:Z44)</f>
        <v>2727.1227167049997</v>
      </c>
      <c r="AA45" s="17">
        <f t="shared" si="42"/>
        <v>3252.4217412870007</v>
      </c>
      <c r="AB45" s="12">
        <f t="shared" si="2"/>
        <v>0.83848988035169836</v>
      </c>
      <c r="AC45" s="12">
        <f t="shared" si="10"/>
        <v>0.45265238540739805</v>
      </c>
      <c r="AD45" s="12">
        <f t="shared" si="11"/>
        <v>0.79016266201207341</v>
      </c>
    </row>
    <row r="46" spans="1:30" ht="12.75" hidden="1" customHeight="1" outlineLevel="2" x14ac:dyDescent="0.3">
      <c r="A46" s="4" t="s">
        <v>51</v>
      </c>
      <c r="B46" s="4" t="s">
        <v>52</v>
      </c>
      <c r="C46" s="16">
        <v>119.709929128846</v>
      </c>
      <c r="D46" s="16">
        <v>9492.1889495183896</v>
      </c>
      <c r="E46" s="5">
        <f>IFERROR(C46/D46,)</f>
        <v>1.2611414476206754E-2</v>
      </c>
      <c r="F46" s="16">
        <v>0</v>
      </c>
      <c r="G46" s="16">
        <v>1.2361926000000001E-2</v>
      </c>
      <c r="H46" s="5">
        <f>IFERROR(F46/G46,)</f>
        <v>0</v>
      </c>
      <c r="I46" s="16">
        <v>-517.20478703900005</v>
      </c>
      <c r="J46" s="16">
        <v>-1120.603197442</v>
      </c>
      <c r="K46" s="13" t="str">
        <f t="shared" si="35"/>
        <v>N.A</v>
      </c>
      <c r="L46" s="13">
        <f t="shared" si="36"/>
        <v>-1.2611414476206754E-2</v>
      </c>
      <c r="M46" s="13" t="str">
        <f t="shared" si="37"/>
        <v>N.A</v>
      </c>
      <c r="N46" s="16">
        <v>0</v>
      </c>
      <c r="O46" s="16">
        <v>1.2361926000000001E-2</v>
      </c>
      <c r="P46" s="5">
        <f>IFERROR(N46/O46,)</f>
        <v>0</v>
      </c>
      <c r="Q46" s="16">
        <v>-173.70608803100001</v>
      </c>
      <c r="R46" s="16">
        <v>-306.73100182899998</v>
      </c>
      <c r="S46" s="13" t="str">
        <f t="shared" si="1"/>
        <v>N.A</v>
      </c>
      <c r="T46" s="16">
        <v>1090.80833799825</v>
      </c>
      <c r="U46" s="16">
        <v>14989.2154567462</v>
      </c>
      <c r="V46" s="5">
        <f t="shared" si="8"/>
        <v>7.2772877349448567E-2</v>
      </c>
      <c r="W46" s="16">
        <v>0</v>
      </c>
      <c r="X46" s="16">
        <v>483.94793950099989</v>
      </c>
      <c r="Y46" s="5">
        <f t="shared" si="9"/>
        <v>0</v>
      </c>
      <c r="Z46" s="16">
        <v>-366.10464878900001</v>
      </c>
      <c r="AA46" s="16">
        <v>-4822.327596406969</v>
      </c>
      <c r="AB46" s="13" t="str">
        <f t="shared" si="2"/>
        <v>N.A</v>
      </c>
      <c r="AC46" s="13">
        <f t="shared" si="10"/>
        <v>-7.2772877349448567E-2</v>
      </c>
      <c r="AD46" s="13" t="str">
        <f t="shared" si="11"/>
        <v>N.A</v>
      </c>
    </row>
    <row r="47" spans="1:30" outlineLevel="1" collapsed="1" x14ac:dyDescent="0.3">
      <c r="A47" s="6" t="s">
        <v>53</v>
      </c>
      <c r="B47" s="6"/>
      <c r="C47" s="17">
        <f>C46</f>
        <v>119.709929128846</v>
      </c>
      <c r="D47" s="17">
        <f>D46</f>
        <v>9492.1889495183896</v>
      </c>
      <c r="E47" s="7">
        <f t="shared" ref="E47:E81" si="43">IFERROR(C47/D47,)</f>
        <v>1.2611414476206754E-2</v>
      </c>
      <c r="F47" s="17">
        <f>F46</f>
        <v>0</v>
      </c>
      <c r="G47" s="17">
        <f>G46</f>
        <v>1.2361926000000001E-2</v>
      </c>
      <c r="H47" s="7">
        <f t="shared" ref="H47:H81" si="44">IFERROR(F47/G47,)</f>
        <v>0</v>
      </c>
      <c r="I47" s="17">
        <f>I46</f>
        <v>-517.20478703900005</v>
      </c>
      <c r="J47" s="17">
        <f>J46</f>
        <v>-1120.603197442</v>
      </c>
      <c r="K47" s="12" t="str">
        <f t="shared" si="35"/>
        <v>N.A</v>
      </c>
      <c r="L47" s="12">
        <f t="shared" si="36"/>
        <v>-1.2611414476206754E-2</v>
      </c>
      <c r="M47" s="12" t="str">
        <f t="shared" si="37"/>
        <v>N.A</v>
      </c>
      <c r="N47" s="17">
        <f>N46</f>
        <v>0</v>
      </c>
      <c r="O47" s="17">
        <f>O46</f>
        <v>1.2361926000000001E-2</v>
      </c>
      <c r="P47" s="7">
        <f t="shared" ref="P47" si="45">IFERROR(N47/O47,)</f>
        <v>0</v>
      </c>
      <c r="Q47" s="17">
        <f>Q46</f>
        <v>-173.70608803100001</v>
      </c>
      <c r="R47" s="17">
        <f>R46</f>
        <v>-306.73100182899998</v>
      </c>
      <c r="S47" s="12" t="str">
        <f t="shared" si="1"/>
        <v>N.A</v>
      </c>
      <c r="T47" s="17">
        <f>T46</f>
        <v>1090.80833799825</v>
      </c>
      <c r="U47" s="17">
        <f>U46</f>
        <v>14989.2154567462</v>
      </c>
      <c r="V47" s="7">
        <f t="shared" si="8"/>
        <v>7.2772877349448567E-2</v>
      </c>
      <c r="W47" s="17">
        <f>W46</f>
        <v>0</v>
      </c>
      <c r="X47" s="17">
        <f>X46</f>
        <v>483.94793950099989</v>
      </c>
      <c r="Y47" s="7">
        <f t="shared" si="9"/>
        <v>0</v>
      </c>
      <c r="Z47" s="17">
        <f>Z46</f>
        <v>-366.10464878900001</v>
      </c>
      <c r="AA47" s="17">
        <f>AA46</f>
        <v>-4822.327596406969</v>
      </c>
      <c r="AB47" s="12" t="str">
        <f t="shared" si="2"/>
        <v>N.A</v>
      </c>
      <c r="AC47" s="12">
        <f t="shared" si="10"/>
        <v>-7.2772877349448567E-2</v>
      </c>
      <c r="AD47" s="12" t="str">
        <f t="shared" si="11"/>
        <v>N.A</v>
      </c>
    </row>
    <row r="48" spans="1:30" ht="12.75" hidden="1" customHeight="1" outlineLevel="2" x14ac:dyDescent="0.3">
      <c r="A48" s="4" t="s">
        <v>54</v>
      </c>
      <c r="B48" s="4" t="s">
        <v>55</v>
      </c>
      <c r="C48" s="16">
        <v>0</v>
      </c>
      <c r="D48" s="16">
        <v>0.10843340729999999</v>
      </c>
      <c r="E48" s="5">
        <f>IFERROR(C48/D48,)</f>
        <v>0</v>
      </c>
      <c r="F48" s="16">
        <v>0</v>
      </c>
      <c r="G48" s="16">
        <v>0</v>
      </c>
      <c r="H48" s="5">
        <f>IFERROR(F48/G48,)</f>
        <v>0</v>
      </c>
      <c r="I48" s="16">
        <v>0</v>
      </c>
      <c r="J48" s="16">
        <v>0</v>
      </c>
      <c r="K48" s="13" t="str">
        <f t="shared" si="35"/>
        <v>N.A</v>
      </c>
      <c r="L48" s="13">
        <f t="shared" si="36"/>
        <v>0</v>
      </c>
      <c r="M48" s="13" t="str">
        <f t="shared" si="37"/>
        <v>N.A</v>
      </c>
      <c r="N48" s="16">
        <v>0</v>
      </c>
      <c r="O48" s="16">
        <v>0</v>
      </c>
      <c r="P48" s="5">
        <f>IFERROR(N48/O48,)</f>
        <v>0</v>
      </c>
      <c r="Q48" s="16">
        <v>0</v>
      </c>
      <c r="R48" s="16">
        <v>0</v>
      </c>
      <c r="S48" s="13" t="str">
        <f t="shared" si="1"/>
        <v>N.A</v>
      </c>
      <c r="T48" s="16">
        <v>0</v>
      </c>
      <c r="U48" s="16">
        <v>0</v>
      </c>
      <c r="V48" s="5">
        <f t="shared" si="8"/>
        <v>0</v>
      </c>
      <c r="W48" s="16">
        <v>0</v>
      </c>
      <c r="X48" s="16">
        <v>0</v>
      </c>
      <c r="Y48" s="5">
        <f t="shared" si="9"/>
        <v>0</v>
      </c>
      <c r="Z48" s="16">
        <v>0</v>
      </c>
      <c r="AA48" s="16">
        <v>0</v>
      </c>
      <c r="AB48" s="13" t="str">
        <f t="shared" si="2"/>
        <v>N.A</v>
      </c>
      <c r="AC48" s="13">
        <f t="shared" si="10"/>
        <v>0</v>
      </c>
      <c r="AD48" s="13" t="str">
        <f t="shared" si="11"/>
        <v>N.A</v>
      </c>
    </row>
    <row r="49" spans="1:30" outlineLevel="1" collapsed="1" x14ac:dyDescent="0.3">
      <c r="A49" s="6" t="s">
        <v>56</v>
      </c>
      <c r="B49" s="6"/>
      <c r="C49" s="17">
        <f>C48</f>
        <v>0</v>
      </c>
      <c r="D49" s="17">
        <f>D48</f>
        <v>0.10843340729999999</v>
      </c>
      <c r="E49" s="7">
        <f t="shared" si="43"/>
        <v>0</v>
      </c>
      <c r="F49" s="17">
        <f>F48</f>
        <v>0</v>
      </c>
      <c r="G49" s="17">
        <f>G48</f>
        <v>0</v>
      </c>
      <c r="H49" s="7">
        <f t="shared" si="44"/>
        <v>0</v>
      </c>
      <c r="I49" s="17">
        <f>I48</f>
        <v>0</v>
      </c>
      <c r="J49" s="17">
        <f>J48</f>
        <v>0</v>
      </c>
      <c r="K49" s="12" t="str">
        <f t="shared" si="35"/>
        <v>N.A</v>
      </c>
      <c r="L49" s="12">
        <f t="shared" si="36"/>
        <v>0</v>
      </c>
      <c r="M49" s="12" t="str">
        <f t="shared" si="37"/>
        <v>N.A</v>
      </c>
      <c r="N49" s="17">
        <f>N48</f>
        <v>0</v>
      </c>
      <c r="O49" s="17">
        <f>O48</f>
        <v>0</v>
      </c>
      <c r="P49" s="7">
        <f t="shared" ref="P49:P52" si="46">IFERROR(N49/O49,)</f>
        <v>0</v>
      </c>
      <c r="Q49" s="17">
        <f>Q48</f>
        <v>0</v>
      </c>
      <c r="R49" s="17">
        <f>R48</f>
        <v>0</v>
      </c>
      <c r="S49" s="12" t="str">
        <f t="shared" si="1"/>
        <v>N.A</v>
      </c>
      <c r="T49" s="17">
        <f>T48</f>
        <v>0</v>
      </c>
      <c r="U49" s="17">
        <f>U48</f>
        <v>0</v>
      </c>
      <c r="V49" s="7">
        <f t="shared" si="8"/>
        <v>0</v>
      </c>
      <c r="W49" s="17">
        <f>W48</f>
        <v>0</v>
      </c>
      <c r="X49" s="17">
        <f>X48</f>
        <v>0</v>
      </c>
      <c r="Y49" s="7">
        <f t="shared" si="9"/>
        <v>0</v>
      </c>
      <c r="Z49" s="17">
        <f>Z48</f>
        <v>0</v>
      </c>
      <c r="AA49" s="17">
        <f>AA48</f>
        <v>0</v>
      </c>
      <c r="AB49" s="12" t="str">
        <f t="shared" si="2"/>
        <v>N.A</v>
      </c>
      <c r="AC49" s="12">
        <f t="shared" si="10"/>
        <v>0</v>
      </c>
      <c r="AD49" s="12" t="str">
        <f t="shared" si="11"/>
        <v>N.A</v>
      </c>
    </row>
    <row r="50" spans="1:30" ht="12.75" hidden="1" customHeight="1" outlineLevel="2" x14ac:dyDescent="0.3">
      <c r="A50" s="4" t="s">
        <v>57</v>
      </c>
      <c r="B50" s="4" t="s">
        <v>58</v>
      </c>
      <c r="C50" s="16">
        <v>760.81290315244507</v>
      </c>
      <c r="D50" s="16">
        <v>20532.7891114304</v>
      </c>
      <c r="E50" s="5">
        <f t="shared" si="43"/>
        <v>3.7053558531359387E-2</v>
      </c>
      <c r="F50" s="16">
        <v>4.3969574890000001</v>
      </c>
      <c r="G50" s="16">
        <v>265.22767419464338</v>
      </c>
      <c r="H50" s="5">
        <f t="shared" si="44"/>
        <v>1.657804941490831E-2</v>
      </c>
      <c r="I50" s="16">
        <v>-1.5346959150000001</v>
      </c>
      <c r="J50" s="16">
        <v>68.541495170643401</v>
      </c>
      <c r="K50" s="13" t="str">
        <f t="shared" si="35"/>
        <v>N.A</v>
      </c>
      <c r="L50" s="13">
        <f t="shared" si="36"/>
        <v>-2.0475509116451077E-2</v>
      </c>
      <c r="M50" s="13" t="str">
        <f t="shared" si="37"/>
        <v>N.A</v>
      </c>
      <c r="N50" s="16">
        <v>3.631531351</v>
      </c>
      <c r="O50" s="16">
        <v>223.1157586660662</v>
      </c>
      <c r="P50" s="5">
        <f t="shared" si="46"/>
        <v>1.6276444894397869E-2</v>
      </c>
      <c r="Q50" s="16">
        <v>-0.64462145600000009</v>
      </c>
      <c r="R50" s="16">
        <v>100.1090816220662</v>
      </c>
      <c r="S50" s="13" t="str">
        <f t="shared" si="1"/>
        <v>N.A</v>
      </c>
      <c r="T50" s="16">
        <v>703.89496132153101</v>
      </c>
      <c r="U50" s="16">
        <v>20177.971408926202</v>
      </c>
      <c r="V50" s="5">
        <f t="shared" si="8"/>
        <v>3.488432742104821E-2</v>
      </c>
      <c r="W50" s="16">
        <v>172.45777352899989</v>
      </c>
      <c r="X50" s="16">
        <v>3013.7628969820339</v>
      </c>
      <c r="Y50" s="5">
        <f t="shared" si="9"/>
        <v>5.7223404568985232E-2</v>
      </c>
      <c r="Z50" s="16">
        <v>5.5027458409999142</v>
      </c>
      <c r="AA50" s="16">
        <v>-773.81247686095605</v>
      </c>
      <c r="AB50" s="13" t="str">
        <f t="shared" si="2"/>
        <v>N.A</v>
      </c>
      <c r="AC50" s="13">
        <f t="shared" si="10"/>
        <v>2.2339077147937023E-2</v>
      </c>
      <c r="AD50" s="13" t="str">
        <f t="shared" si="11"/>
        <v>N.A</v>
      </c>
    </row>
    <row r="51" spans="1:30" ht="12.75" hidden="1" customHeight="1" outlineLevel="2" x14ac:dyDescent="0.3">
      <c r="A51" s="4"/>
      <c r="B51" s="4" t="s">
        <v>59</v>
      </c>
      <c r="C51" s="16">
        <v>1813.4140394910398</v>
      </c>
      <c r="D51" s="16">
        <v>24902.187189671997</v>
      </c>
      <c r="E51" s="5">
        <f t="shared" si="43"/>
        <v>7.2821476510430388E-2</v>
      </c>
      <c r="F51" s="16">
        <v>15.332804342000001</v>
      </c>
      <c r="G51" s="16">
        <v>143.84615164912481</v>
      </c>
      <c r="H51" s="5">
        <f t="shared" si="44"/>
        <v>0.10659168956706176</v>
      </c>
      <c r="I51" s="16">
        <v>-29.182099645999998</v>
      </c>
      <c r="J51" s="16">
        <v>-267.54970134687517</v>
      </c>
      <c r="K51" s="13" t="str">
        <f t="shared" si="35"/>
        <v>N.A</v>
      </c>
      <c r="L51" s="13">
        <f t="shared" si="36"/>
        <v>3.3770213056631374E-2</v>
      </c>
      <c r="M51" s="13" t="str">
        <f t="shared" si="37"/>
        <v>N.A</v>
      </c>
      <c r="N51" s="16">
        <v>7.8773738449999993</v>
      </c>
      <c r="O51" s="16">
        <v>118.90064837212478</v>
      </c>
      <c r="P51" s="5">
        <f t="shared" si="46"/>
        <v>6.6251731616686294E-2</v>
      </c>
      <c r="Q51" s="16">
        <v>-23.167855669000001</v>
      </c>
      <c r="R51" s="16">
        <v>-191.63973734187522</v>
      </c>
      <c r="S51" s="13" t="str">
        <f t="shared" si="1"/>
        <v>N.A</v>
      </c>
      <c r="T51" s="16">
        <v>1911.3087601464299</v>
      </c>
      <c r="U51" s="16">
        <v>25196.862979300498</v>
      </c>
      <c r="V51" s="5">
        <f t="shared" si="8"/>
        <v>7.5855028529408258E-2</v>
      </c>
      <c r="W51" s="16">
        <v>922.0379233470004</v>
      </c>
      <c r="X51" s="16">
        <v>6774.4435905409864</v>
      </c>
      <c r="Y51" s="5">
        <f t="shared" si="9"/>
        <v>0.13610533633115238</v>
      </c>
      <c r="Z51" s="16">
        <v>-202.28860613200004</v>
      </c>
      <c r="AA51" s="16">
        <v>-1239.8632726170026</v>
      </c>
      <c r="AB51" s="13" t="str">
        <f t="shared" si="2"/>
        <v>N.A</v>
      </c>
      <c r="AC51" s="13">
        <f t="shared" si="10"/>
        <v>6.0250307801744118E-2</v>
      </c>
      <c r="AD51" s="13" t="str">
        <f t="shared" si="11"/>
        <v>N.A</v>
      </c>
    </row>
    <row r="52" spans="1:30" outlineLevel="1" collapsed="1" x14ac:dyDescent="0.3">
      <c r="A52" s="6" t="s">
        <v>60</v>
      </c>
      <c r="B52" s="6"/>
      <c r="C52" s="17">
        <f>SUM(C50:C51)</f>
        <v>2574.226942643485</v>
      </c>
      <c r="D52" s="17">
        <f>SUM(D50:D51)</f>
        <v>45434.976301102397</v>
      </c>
      <c r="E52" s="7">
        <f t="shared" si="43"/>
        <v>5.6657384953473083E-2</v>
      </c>
      <c r="F52" s="17">
        <f>SUM(F50:F51)</f>
        <v>19.729761831000001</v>
      </c>
      <c r="G52" s="17">
        <f>SUM(G50:G51)</f>
        <v>409.07382584376819</v>
      </c>
      <c r="H52" s="7">
        <f t="shared" si="44"/>
        <v>4.8230320750306602E-2</v>
      </c>
      <c r="I52" s="17">
        <f>SUM(I50:I51)</f>
        <v>-30.716795560999998</v>
      </c>
      <c r="J52" s="17">
        <f>SUM(J50:J51)</f>
        <v>-199.00820617623177</v>
      </c>
      <c r="K52" s="12" t="str">
        <f t="shared" si="35"/>
        <v>N.A</v>
      </c>
      <c r="L52" s="12">
        <f t="shared" si="36"/>
        <v>-8.4270642031664816E-3</v>
      </c>
      <c r="M52" s="12" t="str">
        <f t="shared" si="37"/>
        <v>N.A</v>
      </c>
      <c r="N52" s="17">
        <f>SUM(N50:N51)</f>
        <v>11.508905195999999</v>
      </c>
      <c r="O52" s="17">
        <f>SUM(O50:O51)</f>
        <v>342.01640703819101</v>
      </c>
      <c r="P52" s="7">
        <f t="shared" si="46"/>
        <v>3.3650155253267908E-2</v>
      </c>
      <c r="Q52" s="17">
        <f>SUM(Q50:Q51)</f>
        <v>-23.812477125000001</v>
      </c>
      <c r="R52" s="17">
        <f>SUM(R50:R51)</f>
        <v>-91.530655719809019</v>
      </c>
      <c r="S52" s="12" t="str">
        <f t="shared" si="1"/>
        <v>N.A</v>
      </c>
      <c r="T52" s="17">
        <f>SUM(T50:T51)</f>
        <v>2615.2037214679608</v>
      </c>
      <c r="U52" s="17">
        <f>SUM(U50:U51)</f>
        <v>45374.8343882267</v>
      </c>
      <c r="V52" s="7">
        <f t="shared" si="8"/>
        <v>5.763555408472238E-2</v>
      </c>
      <c r="W52" s="17">
        <f>SUM(W50:W51)</f>
        <v>1094.4956968760002</v>
      </c>
      <c r="X52" s="17">
        <f>SUM(X50:X51)</f>
        <v>9788.2064875230208</v>
      </c>
      <c r="Y52" s="7">
        <f t="shared" si="9"/>
        <v>0.11181779810950541</v>
      </c>
      <c r="Z52" s="17">
        <f>SUM(Z50:Z51)</f>
        <v>-196.78586029100012</v>
      </c>
      <c r="AA52" s="17">
        <f>SUM(AA50:AA51)</f>
        <v>-2013.6757494779586</v>
      </c>
      <c r="AB52" s="12" t="str">
        <f t="shared" si="2"/>
        <v>N.A</v>
      </c>
      <c r="AC52" s="12">
        <f t="shared" si="10"/>
        <v>5.4182244024783034E-2</v>
      </c>
      <c r="AD52" s="12" t="str">
        <f t="shared" si="11"/>
        <v>N.A</v>
      </c>
    </row>
    <row r="53" spans="1:30" ht="12.75" hidden="1" customHeight="1" outlineLevel="2" x14ac:dyDescent="0.3">
      <c r="A53" s="4" t="s">
        <v>61</v>
      </c>
      <c r="B53" s="4" t="s">
        <v>62</v>
      </c>
      <c r="C53" s="16">
        <v>2861.9374027812501</v>
      </c>
      <c r="D53" s="16">
        <v>25826.932730850098</v>
      </c>
      <c r="E53" s="5">
        <f>IFERROR(C53/D53,)</f>
        <v>0.11081212905172766</v>
      </c>
      <c r="F53" s="16">
        <v>16.846480255000003</v>
      </c>
      <c r="G53" s="16">
        <v>253.0685781842208</v>
      </c>
      <c r="H53" s="5">
        <f>IFERROR(F53/G53,)</f>
        <v>6.6568834328917123E-2</v>
      </c>
      <c r="I53" s="16">
        <v>-28.998429242999997</v>
      </c>
      <c r="J53" s="16">
        <v>-83.627979722779216</v>
      </c>
      <c r="K53" s="13" t="str">
        <f t="shared" si="35"/>
        <v>N.A</v>
      </c>
      <c r="L53" s="13">
        <f t="shared" si="36"/>
        <v>-4.4243294722810536E-2</v>
      </c>
      <c r="M53" s="13" t="str">
        <f t="shared" si="37"/>
        <v>N.A</v>
      </c>
      <c r="N53" s="16">
        <v>13.687276323000001</v>
      </c>
      <c r="O53" s="16">
        <v>196.44287016783281</v>
      </c>
      <c r="P53" s="5">
        <f>IFERROR(N53/O53,)</f>
        <v>6.967560752551695E-2</v>
      </c>
      <c r="Q53" s="16">
        <v>-24.594260905999999</v>
      </c>
      <c r="R53" s="16">
        <v>-72.316466552167199</v>
      </c>
      <c r="S53" s="13" t="str">
        <f t="shared" si="1"/>
        <v>N.A</v>
      </c>
      <c r="T53" s="16">
        <v>3133.8761798289702</v>
      </c>
      <c r="U53" s="16">
        <v>28781.809797849499</v>
      </c>
      <c r="V53" s="5">
        <f t="shared" si="8"/>
        <v>0.10888391667653662</v>
      </c>
      <c r="W53" s="16">
        <v>411.76776318599838</v>
      </c>
      <c r="X53" s="16">
        <v>5173.6524137189663</v>
      </c>
      <c r="Y53" s="5">
        <f t="shared" si="9"/>
        <v>7.9589375214715707E-2</v>
      </c>
      <c r="Z53" s="16">
        <v>-217.10940115400035</v>
      </c>
      <c r="AA53" s="16">
        <v>-123.16585197998967</v>
      </c>
      <c r="AB53" s="13" t="str">
        <f t="shared" si="2"/>
        <v>N.A</v>
      </c>
      <c r="AC53" s="13">
        <f t="shared" si="10"/>
        <v>-2.9294541461820908E-2</v>
      </c>
      <c r="AD53" s="13" t="str">
        <f t="shared" si="11"/>
        <v>N.A</v>
      </c>
    </row>
    <row r="54" spans="1:30" outlineLevel="1" collapsed="1" x14ac:dyDescent="0.3">
      <c r="A54" s="6" t="s">
        <v>64</v>
      </c>
      <c r="B54" s="6"/>
      <c r="C54" s="17">
        <f>SUM(C53:C53)</f>
        <v>2861.9374027812501</v>
      </c>
      <c r="D54" s="17">
        <f>SUM(D53:D53)</f>
        <v>25826.932730850098</v>
      </c>
      <c r="E54" s="7">
        <f t="shared" si="43"/>
        <v>0.11081212905172766</v>
      </c>
      <c r="F54" s="17">
        <f>SUM(F53:F53)</f>
        <v>16.846480255000003</v>
      </c>
      <c r="G54" s="17">
        <f>SUM(G53:G53)</f>
        <v>253.0685781842208</v>
      </c>
      <c r="H54" s="7">
        <f t="shared" si="44"/>
        <v>6.6568834328917123E-2</v>
      </c>
      <c r="I54" s="17">
        <f>SUM(I53:I53)</f>
        <v>-28.998429242999997</v>
      </c>
      <c r="J54" s="17">
        <f>SUM(J53:J53)</f>
        <v>-83.627979722779216</v>
      </c>
      <c r="K54" s="12" t="str">
        <f t="shared" si="35"/>
        <v>N.A</v>
      </c>
      <c r="L54" s="12">
        <f t="shared" si="36"/>
        <v>-4.4243294722810536E-2</v>
      </c>
      <c r="M54" s="12" t="str">
        <f t="shared" si="37"/>
        <v>N.A</v>
      </c>
      <c r="N54" s="17">
        <f>SUM(N53:N53)</f>
        <v>13.687276323000001</v>
      </c>
      <c r="O54" s="17">
        <f>SUM(O53:O53)</f>
        <v>196.44287016783281</v>
      </c>
      <c r="P54" s="7">
        <f t="shared" ref="P54:P61" si="47">IFERROR(N54/O54,)</f>
        <v>6.967560752551695E-2</v>
      </c>
      <c r="Q54" s="17">
        <f>SUM(Q53:Q53)</f>
        <v>-24.594260905999999</v>
      </c>
      <c r="R54" s="17">
        <f>SUM(R53:R53)</f>
        <v>-72.316466552167199</v>
      </c>
      <c r="S54" s="12" t="str">
        <f t="shared" si="1"/>
        <v>N.A</v>
      </c>
      <c r="T54" s="17">
        <f>SUM(T53:T53)</f>
        <v>3133.8761798289702</v>
      </c>
      <c r="U54" s="17">
        <f>SUM(U53:U53)</f>
        <v>28781.809797849499</v>
      </c>
      <c r="V54" s="7">
        <f t="shared" si="8"/>
        <v>0.10888391667653662</v>
      </c>
      <c r="W54" s="17">
        <f>SUM(W53:W53)</f>
        <v>411.76776318599838</v>
      </c>
      <c r="X54" s="17">
        <f>SUM(X53:X53)</f>
        <v>5173.6524137189663</v>
      </c>
      <c r="Y54" s="7">
        <f t="shared" si="9"/>
        <v>7.9589375214715707E-2</v>
      </c>
      <c r="Z54" s="17">
        <f>SUM(Z53:Z53)</f>
        <v>-217.10940115400035</v>
      </c>
      <c r="AA54" s="17">
        <f>SUM(AA53:AA53)</f>
        <v>-123.16585197998967</v>
      </c>
      <c r="AB54" s="12" t="str">
        <f t="shared" si="2"/>
        <v>N.A</v>
      </c>
      <c r="AC54" s="12">
        <f t="shared" si="10"/>
        <v>-2.9294541461820908E-2</v>
      </c>
      <c r="AD54" s="12" t="str">
        <f t="shared" si="11"/>
        <v>N.A</v>
      </c>
    </row>
    <row r="55" spans="1:30" ht="12.75" hidden="1" customHeight="1" outlineLevel="2" x14ac:dyDescent="0.3">
      <c r="A55" s="4" t="s">
        <v>65</v>
      </c>
      <c r="B55" s="4" t="s">
        <v>66</v>
      </c>
      <c r="C55" s="16">
        <v>2375.6402602448597</v>
      </c>
      <c r="D55" s="16">
        <v>30449.8024391496</v>
      </c>
      <c r="E55" s="5">
        <f t="shared" si="43"/>
        <v>7.8018248722378461E-2</v>
      </c>
      <c r="F55" s="16">
        <v>3.5139855880000006</v>
      </c>
      <c r="G55" s="16">
        <v>93.485916811862396</v>
      </c>
      <c r="H55" s="5">
        <f t="shared" si="44"/>
        <v>3.7588395213278926E-2</v>
      </c>
      <c r="I55" s="16">
        <v>-59.387347468999991</v>
      </c>
      <c r="J55" s="16">
        <v>-636.19738644713755</v>
      </c>
      <c r="K55" s="13" t="str">
        <f t="shared" si="35"/>
        <v>N.A</v>
      </c>
      <c r="L55" s="13">
        <f t="shared" si="36"/>
        <v>-4.0429853509099535E-2</v>
      </c>
      <c r="M55" s="13" t="str">
        <f t="shared" si="37"/>
        <v>N.A</v>
      </c>
      <c r="N55" s="16">
        <v>2.9974322330000001</v>
      </c>
      <c r="O55" s="16">
        <v>72.762268234862347</v>
      </c>
      <c r="P55" s="5">
        <f t="shared" si="47"/>
        <v>4.1194870716851156E-2</v>
      </c>
      <c r="Q55" s="16">
        <v>-48.40638225</v>
      </c>
      <c r="R55" s="16">
        <v>-444.98533582813769</v>
      </c>
      <c r="S55" s="13" t="str">
        <f t="shared" si="1"/>
        <v>N.A</v>
      </c>
      <c r="T55" s="16">
        <v>2882.24743609405</v>
      </c>
      <c r="U55" s="16">
        <v>36851.731257899599</v>
      </c>
      <c r="V55" s="5">
        <f t="shared" si="8"/>
        <v>7.82119954127313E-2</v>
      </c>
      <c r="W55" s="16">
        <v>436.38720822499954</v>
      </c>
      <c r="X55" s="16">
        <v>6900.0813914589589</v>
      </c>
      <c r="Y55" s="5">
        <f t="shared" si="9"/>
        <v>6.3243776916192207E-2</v>
      </c>
      <c r="Z55" s="16">
        <v>-426.36311858799945</v>
      </c>
      <c r="AA55" s="16">
        <v>-5256.9187679760471</v>
      </c>
      <c r="AB55" s="13" t="str">
        <f t="shared" si="2"/>
        <v>N.A</v>
      </c>
      <c r="AC55" s="13">
        <f t="shared" si="10"/>
        <v>-1.4968218496539093E-2</v>
      </c>
      <c r="AD55" s="13" t="str">
        <f t="shared" si="11"/>
        <v>N.A</v>
      </c>
    </row>
    <row r="56" spans="1:30" ht="12.75" hidden="1" customHeight="1" outlineLevel="2" x14ac:dyDescent="0.3">
      <c r="A56" s="4"/>
      <c r="B56" s="4" t="s">
        <v>67</v>
      </c>
      <c r="C56" s="16">
        <v>2269.2040819662002</v>
      </c>
      <c r="D56" s="16">
        <v>29844.2547789372</v>
      </c>
      <c r="E56" s="5">
        <f t="shared" si="43"/>
        <v>7.6034871662056289E-2</v>
      </c>
      <c r="F56" s="16">
        <v>2.7836612289999998</v>
      </c>
      <c r="G56" s="16">
        <v>317.30101418355605</v>
      </c>
      <c r="H56" s="5">
        <f t="shared" si="44"/>
        <v>8.7729351769095659E-3</v>
      </c>
      <c r="I56" s="16">
        <v>-89.530989243000008</v>
      </c>
      <c r="J56" s="16">
        <v>-1537.6605569449912</v>
      </c>
      <c r="K56" s="13" t="str">
        <f t="shared" si="35"/>
        <v>N.A</v>
      </c>
      <c r="L56" s="13">
        <f t="shared" si="36"/>
        <v>-6.7261936485146723E-2</v>
      </c>
      <c r="M56" s="13" t="str">
        <f t="shared" si="37"/>
        <v>N.A</v>
      </c>
      <c r="N56" s="16">
        <v>2.4069414899999999</v>
      </c>
      <c r="O56" s="16">
        <v>278.69144150755608</v>
      </c>
      <c r="P56" s="5">
        <f t="shared" si="47"/>
        <v>8.6365820097663148E-3</v>
      </c>
      <c r="Q56" s="16">
        <v>-61.458873970999996</v>
      </c>
      <c r="R56" s="16">
        <v>-1209.4644100919909</v>
      </c>
      <c r="S56" s="13" t="str">
        <f t="shared" si="1"/>
        <v>N.A</v>
      </c>
      <c r="T56" s="16">
        <v>3870.7227869287599</v>
      </c>
      <c r="U56" s="16">
        <v>42148.1893533478</v>
      </c>
      <c r="V56" s="5">
        <f t="shared" si="8"/>
        <v>9.1836039609642484E-2</v>
      </c>
      <c r="W56" s="16">
        <v>931.30754521800122</v>
      </c>
      <c r="X56" s="16">
        <v>15622.236533358981</v>
      </c>
      <c r="Y56" s="5">
        <f t="shared" si="9"/>
        <v>5.9614226377211192E-2</v>
      </c>
      <c r="Z56" s="16">
        <v>-1428.851053265</v>
      </c>
      <c r="AA56" s="16">
        <v>-7949.0563233910107</v>
      </c>
      <c r="AB56" s="13" t="str">
        <f t="shared" si="2"/>
        <v>N.A</v>
      </c>
      <c r="AC56" s="13">
        <f t="shared" si="10"/>
        <v>-3.2221813232431291E-2</v>
      </c>
      <c r="AD56" s="13" t="str">
        <f t="shared" si="11"/>
        <v>N.A</v>
      </c>
    </row>
    <row r="57" spans="1:30" ht="12.75" hidden="1" customHeight="1" outlineLevel="2" x14ac:dyDescent="0.3">
      <c r="A57" s="4"/>
      <c r="B57" s="4" t="s">
        <v>68</v>
      </c>
      <c r="C57" s="16">
        <v>0</v>
      </c>
      <c r="D57" s="16">
        <v>4022.3024252058799</v>
      </c>
      <c r="E57" s="5">
        <f t="shared" si="43"/>
        <v>0</v>
      </c>
      <c r="F57" s="16">
        <v>0</v>
      </c>
      <c r="G57" s="16">
        <v>32.340395383000001</v>
      </c>
      <c r="H57" s="5">
        <f t="shared" si="44"/>
        <v>0</v>
      </c>
      <c r="I57" s="16">
        <v>0</v>
      </c>
      <c r="J57" s="16">
        <v>-286.39592953900001</v>
      </c>
      <c r="K57" s="13" t="str">
        <f t="shared" si="35"/>
        <v>N.A</v>
      </c>
      <c r="L57" s="13">
        <f t="shared" si="36"/>
        <v>0</v>
      </c>
      <c r="M57" s="13" t="str">
        <f t="shared" si="37"/>
        <v>N.A</v>
      </c>
      <c r="N57" s="16">
        <v>0</v>
      </c>
      <c r="O57" s="16">
        <v>31.094773889999995</v>
      </c>
      <c r="P57" s="5">
        <f t="shared" si="47"/>
        <v>0</v>
      </c>
      <c r="Q57" s="16">
        <v>0</v>
      </c>
      <c r="R57" s="16">
        <v>-268.857580133</v>
      </c>
      <c r="S57" s="13" t="str">
        <f t="shared" si="1"/>
        <v>N.A</v>
      </c>
      <c r="T57" s="16">
        <v>0</v>
      </c>
      <c r="U57" s="16">
        <v>5101.4738490770997</v>
      </c>
      <c r="V57" s="5">
        <f t="shared" si="8"/>
        <v>0</v>
      </c>
      <c r="W57" s="16">
        <v>0</v>
      </c>
      <c r="X57" s="16">
        <v>1329.5691218499969</v>
      </c>
      <c r="Y57" s="5">
        <f t="shared" si="9"/>
        <v>0</v>
      </c>
      <c r="Z57" s="16">
        <v>0</v>
      </c>
      <c r="AA57" s="16">
        <v>-699.86037248099751</v>
      </c>
      <c r="AB57" s="13" t="str">
        <f t="shared" si="2"/>
        <v>N.A</v>
      </c>
      <c r="AC57" s="13">
        <f t="shared" si="10"/>
        <v>0</v>
      </c>
      <c r="AD57" s="13" t="str">
        <f t="shared" si="11"/>
        <v>N.A</v>
      </c>
    </row>
    <row r="58" spans="1:30" ht="12.75" hidden="1" customHeight="1" outlineLevel="2" x14ac:dyDescent="0.3">
      <c r="A58" s="4"/>
      <c r="B58" s="4" t="s">
        <v>69</v>
      </c>
      <c r="C58" s="16">
        <v>0</v>
      </c>
      <c r="D58" s="16">
        <v>7.179931055</v>
      </c>
      <c r="E58" s="5">
        <f t="shared" si="43"/>
        <v>0</v>
      </c>
      <c r="F58" s="16">
        <v>0</v>
      </c>
      <c r="G58" s="16">
        <v>0</v>
      </c>
      <c r="H58" s="5">
        <f t="shared" si="44"/>
        <v>0</v>
      </c>
      <c r="I58" s="16">
        <v>0</v>
      </c>
      <c r="J58" s="16">
        <v>-7.5107832849999996</v>
      </c>
      <c r="K58" s="13" t="str">
        <f t="shared" si="35"/>
        <v>N.A</v>
      </c>
      <c r="L58" s="13">
        <f t="shared" si="36"/>
        <v>0</v>
      </c>
      <c r="M58" s="13" t="str">
        <f t="shared" si="37"/>
        <v>N.A</v>
      </c>
      <c r="N58" s="16">
        <v>0</v>
      </c>
      <c r="O58" s="16">
        <v>0</v>
      </c>
      <c r="P58" s="5">
        <f t="shared" si="47"/>
        <v>0</v>
      </c>
      <c r="Q58" s="16">
        <v>0</v>
      </c>
      <c r="R58" s="16">
        <v>-7.5107832849999996</v>
      </c>
      <c r="S58" s="13" t="str">
        <f t="shared" si="1"/>
        <v>N.A</v>
      </c>
      <c r="T58" s="16">
        <v>0</v>
      </c>
      <c r="U58" s="16">
        <v>51.781721390999998</v>
      </c>
      <c r="V58" s="5">
        <f t="shared" si="8"/>
        <v>0</v>
      </c>
      <c r="W58" s="16">
        <v>0</v>
      </c>
      <c r="X58" s="16">
        <v>0</v>
      </c>
      <c r="Y58" s="5">
        <f t="shared" si="9"/>
        <v>0</v>
      </c>
      <c r="Z58" s="16">
        <v>0</v>
      </c>
      <c r="AA58" s="16">
        <v>-20.546563577000001</v>
      </c>
      <c r="AB58" s="13" t="str">
        <f t="shared" si="2"/>
        <v>N.A</v>
      </c>
      <c r="AC58" s="13">
        <f t="shared" si="10"/>
        <v>0</v>
      </c>
      <c r="AD58" s="13" t="str">
        <f t="shared" si="11"/>
        <v>N.A</v>
      </c>
    </row>
    <row r="59" spans="1:30" ht="12.75" hidden="1" customHeight="1" outlineLevel="2" x14ac:dyDescent="0.3">
      <c r="A59" s="4"/>
      <c r="B59" s="4" t="s">
        <v>70</v>
      </c>
      <c r="C59" s="16">
        <v>68.103526367864191</v>
      </c>
      <c r="D59" s="16">
        <v>12722.039880617</v>
      </c>
      <c r="E59" s="5">
        <f t="shared" si="43"/>
        <v>5.3531923344797179E-3</v>
      </c>
      <c r="F59" s="16">
        <v>1.8578726720000001</v>
      </c>
      <c r="G59" s="16">
        <v>62.512567690999994</v>
      </c>
      <c r="H59" s="5">
        <f t="shared" si="44"/>
        <v>2.9719986566276977E-2</v>
      </c>
      <c r="I59" s="16">
        <v>-24.694023967000003</v>
      </c>
      <c r="J59" s="16">
        <v>-888.15587602000005</v>
      </c>
      <c r="K59" s="13" t="str">
        <f t="shared" si="35"/>
        <v>N.A</v>
      </c>
      <c r="L59" s="13">
        <f t="shared" si="36"/>
        <v>2.4366794231797259E-2</v>
      </c>
      <c r="M59" s="13" t="str">
        <f t="shared" si="37"/>
        <v>N.A</v>
      </c>
      <c r="N59" s="16">
        <v>1.4624115719999999</v>
      </c>
      <c r="O59" s="16">
        <v>57.464899456000005</v>
      </c>
      <c r="P59" s="5">
        <f t="shared" si="47"/>
        <v>2.5448779791562084E-2</v>
      </c>
      <c r="Q59" s="16">
        <v>-18.592907032999989</v>
      </c>
      <c r="R59" s="16">
        <v>-703.96371489700005</v>
      </c>
      <c r="S59" s="13" t="str">
        <f t="shared" si="1"/>
        <v>N.A</v>
      </c>
      <c r="T59" s="16">
        <v>208.26344167857201</v>
      </c>
      <c r="U59" s="16">
        <v>21372.564118062499</v>
      </c>
      <c r="V59" s="5">
        <f t="shared" si="8"/>
        <v>9.744429378156047E-3</v>
      </c>
      <c r="W59" s="16">
        <v>67.272844645999996</v>
      </c>
      <c r="X59" s="16">
        <v>4710.1652922509529</v>
      </c>
      <c r="Y59" s="5">
        <f t="shared" si="9"/>
        <v>1.4282480650238669E-2</v>
      </c>
      <c r="Z59" s="16">
        <v>-88.738969407999974</v>
      </c>
      <c r="AA59" s="16">
        <v>-6733.7122284690358</v>
      </c>
      <c r="AB59" s="13" t="str">
        <f t="shared" si="2"/>
        <v>N.A</v>
      </c>
      <c r="AC59" s="13">
        <f t="shared" si="10"/>
        <v>4.5380512720826216E-3</v>
      </c>
      <c r="AD59" s="13" t="str">
        <f t="shared" si="11"/>
        <v>N.A</v>
      </c>
    </row>
    <row r="60" spans="1:30" ht="12.75" hidden="1" customHeight="1" outlineLevel="2" x14ac:dyDescent="0.3">
      <c r="A60" s="4"/>
      <c r="B60" s="4" t="s">
        <v>71</v>
      </c>
      <c r="C60" s="16">
        <v>1810.9189131039402</v>
      </c>
      <c r="D60" s="16">
        <v>10058.4111691287</v>
      </c>
      <c r="E60" s="5">
        <f t="shared" si="43"/>
        <v>0.18004025513115005</v>
      </c>
      <c r="F60" s="16">
        <v>1.9246882479999998</v>
      </c>
      <c r="G60" s="16">
        <v>10.589989035695702</v>
      </c>
      <c r="H60" s="5">
        <f t="shared" si="44"/>
        <v>0.18174600951072267</v>
      </c>
      <c r="I60" s="16">
        <v>-74.295985458999994</v>
      </c>
      <c r="J60" s="16">
        <v>-224.16228902330434</v>
      </c>
      <c r="K60" s="13" t="str">
        <f t="shared" si="35"/>
        <v>N.A</v>
      </c>
      <c r="L60" s="13">
        <f t="shared" si="36"/>
        <v>1.7057543795726271E-3</v>
      </c>
      <c r="M60" s="13" t="str">
        <f t="shared" si="37"/>
        <v>N.A</v>
      </c>
      <c r="N60" s="16">
        <v>0.82147658900000009</v>
      </c>
      <c r="O60" s="16">
        <v>8.3910152370165001</v>
      </c>
      <c r="P60" s="5">
        <f t="shared" si="47"/>
        <v>9.7899546812416874E-2</v>
      </c>
      <c r="Q60" s="16">
        <v>-72.106852301999993</v>
      </c>
      <c r="R60" s="16">
        <v>-157.45057738198349</v>
      </c>
      <c r="S60" s="13" t="str">
        <f t="shared" si="1"/>
        <v>N.A</v>
      </c>
      <c r="T60" s="16">
        <v>2140.9500076623999</v>
      </c>
      <c r="U60" s="16">
        <v>11954.1815019116</v>
      </c>
      <c r="V60" s="5">
        <f t="shared" si="8"/>
        <v>0.17909632770090025</v>
      </c>
      <c r="W60" s="16">
        <v>277.79920600100002</v>
      </c>
      <c r="X60" s="16">
        <v>1299.5591979260046</v>
      </c>
      <c r="Y60" s="5">
        <f t="shared" si="9"/>
        <v>0.21376417976522036</v>
      </c>
      <c r="Z60" s="16">
        <v>-286.50577687900028</v>
      </c>
      <c r="AA60" s="16">
        <v>-1352.2772477209883</v>
      </c>
      <c r="AB60" s="13" t="str">
        <f t="shared" si="2"/>
        <v>N.A</v>
      </c>
      <c r="AC60" s="13">
        <f t="shared" si="10"/>
        <v>3.4667852064320104E-2</v>
      </c>
      <c r="AD60" s="13" t="str">
        <f t="shared" si="11"/>
        <v>N.A</v>
      </c>
    </row>
    <row r="61" spans="1:30" outlineLevel="1" collapsed="1" x14ac:dyDescent="0.3">
      <c r="A61" s="6" t="s">
        <v>72</v>
      </c>
      <c r="B61" s="6"/>
      <c r="C61" s="17">
        <f>SUM(C55:C60)</f>
        <v>6523.8667816828638</v>
      </c>
      <c r="D61" s="17">
        <f>SUM(D55:D60)</f>
        <v>87103.990624093378</v>
      </c>
      <c r="E61" s="7">
        <f t="shared" si="43"/>
        <v>7.4897449989832401E-2</v>
      </c>
      <c r="F61" s="17">
        <f>SUM(F55:F60)</f>
        <v>10.080207736999999</v>
      </c>
      <c r="G61" s="17">
        <f>SUM(G55:G60)</f>
        <v>516.22988310511414</v>
      </c>
      <c r="H61" s="7">
        <f t="shared" si="44"/>
        <v>1.9526587024307304E-2</v>
      </c>
      <c r="I61" s="17">
        <f>SUM(I55:I60)</f>
        <v>-247.90834613799996</v>
      </c>
      <c r="J61" s="17">
        <f>SUM(J55:J60)</f>
        <v>-3580.0828212594329</v>
      </c>
      <c r="K61" s="12" t="str">
        <f t="shared" si="35"/>
        <v>N.A</v>
      </c>
      <c r="L61" s="12">
        <f t="shared" si="36"/>
        <v>-5.5370862965525097E-2</v>
      </c>
      <c r="M61" s="12" t="str">
        <f t="shared" si="37"/>
        <v>N.A</v>
      </c>
      <c r="N61" s="17">
        <f>SUM(N55:N60)</f>
        <v>7.6882618840000001</v>
      </c>
      <c r="O61" s="17">
        <f>SUM(O55:O60)</f>
        <v>448.40439832543495</v>
      </c>
      <c r="P61" s="7">
        <f t="shared" si="47"/>
        <v>1.7145821746423082E-2</v>
      </c>
      <c r="Q61" s="17">
        <f>SUM(Q55:Q60)</f>
        <v>-200.56501555599999</v>
      </c>
      <c r="R61" s="17">
        <f>SUM(R55:R60)</f>
        <v>-2792.2324016171119</v>
      </c>
      <c r="S61" s="12" t="str">
        <f t="shared" si="1"/>
        <v>N.A</v>
      </c>
      <c r="T61" s="17">
        <f>SUM(T55:T60)</f>
        <v>9102.1836723637825</v>
      </c>
      <c r="U61" s="17">
        <f>SUM(U55:U60)</f>
        <v>117479.92180168959</v>
      </c>
      <c r="V61" s="7">
        <f t="shared" si="8"/>
        <v>7.7478632371994607E-2</v>
      </c>
      <c r="W61" s="17">
        <f>SUM(W55:W60)</f>
        <v>1712.7668040900007</v>
      </c>
      <c r="X61" s="17">
        <f>SUM(X55:X60)</f>
        <v>29861.611536844895</v>
      </c>
      <c r="Y61" s="7">
        <f t="shared" si="9"/>
        <v>5.7356810833089002E-2</v>
      </c>
      <c r="Z61" s="17">
        <f>SUM(Z55:Z60)</f>
        <v>-2230.4589181399997</v>
      </c>
      <c r="AA61" s="17">
        <f>SUM(AA55:AA60)</f>
        <v>-22012.371503615079</v>
      </c>
      <c r="AB61" s="12" t="str">
        <f t="shared" si="2"/>
        <v>N.A</v>
      </c>
      <c r="AC61" s="12">
        <f t="shared" si="10"/>
        <v>-2.0121821538905606E-2</v>
      </c>
      <c r="AD61" s="12" t="str">
        <f t="shared" si="11"/>
        <v>N.A</v>
      </c>
    </row>
    <row r="62" spans="1:30" s="22" customFormat="1" ht="12.75" hidden="1" customHeight="1" outlineLevel="2" x14ac:dyDescent="0.3">
      <c r="A62" s="24" t="s">
        <v>36</v>
      </c>
      <c r="B62" s="24" t="s">
        <v>101</v>
      </c>
      <c r="C62" s="16">
        <v>12857.377350106901</v>
      </c>
      <c r="D62" s="16">
        <v>95629.972629693293</v>
      </c>
      <c r="E62" s="5">
        <f>IFERROR(C62/D62,)</f>
        <v>0.13444924218366514</v>
      </c>
      <c r="F62" s="16">
        <v>112.80066467</v>
      </c>
      <c r="G62" s="16">
        <v>2810.2822334979996</v>
      </c>
      <c r="H62" s="5">
        <f>IFERROR(F62/G62,)</f>
        <v>4.013855381692228E-2</v>
      </c>
      <c r="I62" s="16">
        <v>-484.47665942299994</v>
      </c>
      <c r="J62" s="16">
        <v>-1513.8191913830003</v>
      </c>
      <c r="K62" s="13" t="str">
        <f t="shared" si="35"/>
        <v>N.A</v>
      </c>
      <c r="L62" s="25">
        <f t="shared" si="36"/>
        <v>-9.4310688366742862E-2</v>
      </c>
      <c r="M62" s="25" t="str">
        <f t="shared" si="37"/>
        <v>N.A</v>
      </c>
      <c r="N62" s="16">
        <v>100.41467542700001</v>
      </c>
      <c r="O62" s="16">
        <v>2633.5856999480002</v>
      </c>
      <c r="P62" s="5">
        <f>IFERROR(N62/O62,)</f>
        <v>3.8128501164394493E-2</v>
      </c>
      <c r="Q62" s="16">
        <v>-599.16096729399999</v>
      </c>
      <c r="R62" s="16">
        <v>-947.67955885099957</v>
      </c>
      <c r="S62" s="13" t="str">
        <f t="shared" si="1"/>
        <v>N.A</v>
      </c>
      <c r="T62" s="16">
        <v>12821.3590292402</v>
      </c>
      <c r="U62" s="16">
        <v>111401.86724632399</v>
      </c>
      <c r="V62" s="26">
        <f t="shared" si="8"/>
        <v>0.11509106037594963</v>
      </c>
      <c r="W62" s="16">
        <v>4627.4706527419785</v>
      </c>
      <c r="X62" s="16">
        <v>35434.138154177097</v>
      </c>
      <c r="Y62" s="26">
        <f t="shared" si="9"/>
        <v>0.13059357144817352</v>
      </c>
      <c r="Z62" s="16">
        <v>-498.64490965401473</v>
      </c>
      <c r="AA62" s="16">
        <v>-19376.643858630989</v>
      </c>
      <c r="AB62" s="25" t="str">
        <f t="shared" si="2"/>
        <v>N.A</v>
      </c>
      <c r="AC62" s="13">
        <f t="shared" si="10"/>
        <v>1.550251107222389E-2</v>
      </c>
      <c r="AD62" s="25" t="str">
        <f t="shared" si="11"/>
        <v>N.A</v>
      </c>
    </row>
    <row r="63" spans="1:30" s="23" customFormat="1" outlineLevel="1" collapsed="1" x14ac:dyDescent="0.3">
      <c r="A63" s="6" t="s">
        <v>37</v>
      </c>
      <c r="B63" s="6"/>
      <c r="C63" s="17">
        <f>SUM(C62)</f>
        <v>12857.377350106901</v>
      </c>
      <c r="D63" s="17">
        <f>SUM(D62)</f>
        <v>95629.972629693293</v>
      </c>
      <c r="E63" s="7">
        <f t="shared" si="43"/>
        <v>0.13444924218366514</v>
      </c>
      <c r="F63" s="17">
        <f>SUM(F62)</f>
        <v>112.80066467</v>
      </c>
      <c r="G63" s="17">
        <f>SUM(G62)</f>
        <v>2810.2822334979996</v>
      </c>
      <c r="H63" s="7">
        <f t="shared" si="44"/>
        <v>4.013855381692228E-2</v>
      </c>
      <c r="I63" s="17">
        <f>SUM(I62)</f>
        <v>-484.47665942299994</v>
      </c>
      <c r="J63" s="17">
        <f>SUM(J62)</f>
        <v>-1513.8191913830003</v>
      </c>
      <c r="K63" s="12" t="str">
        <f t="shared" si="35"/>
        <v>N.A</v>
      </c>
      <c r="L63" s="12">
        <f t="shared" si="36"/>
        <v>-9.4310688366742862E-2</v>
      </c>
      <c r="M63" s="12" t="str">
        <f t="shared" si="37"/>
        <v>N.A</v>
      </c>
      <c r="N63" s="17">
        <f>SUM(N62)</f>
        <v>100.41467542700001</v>
      </c>
      <c r="O63" s="17">
        <f>SUM(O62)</f>
        <v>2633.5856999480002</v>
      </c>
      <c r="P63" s="7">
        <f t="shared" ref="P63:P66" si="48">IFERROR(N63/O63,)</f>
        <v>3.8128501164394493E-2</v>
      </c>
      <c r="Q63" s="17">
        <f>SUM(Q62)</f>
        <v>-599.16096729399999</v>
      </c>
      <c r="R63" s="17">
        <f>SUM(R62)</f>
        <v>-947.67955885099957</v>
      </c>
      <c r="S63" s="12" t="str">
        <f t="shared" si="1"/>
        <v>N.A</v>
      </c>
      <c r="T63" s="17">
        <f>SUM(T62)</f>
        <v>12821.3590292402</v>
      </c>
      <c r="U63" s="17">
        <f>SUM(U62)</f>
        <v>111401.86724632399</v>
      </c>
      <c r="V63" s="7">
        <f t="shared" si="8"/>
        <v>0.11509106037594963</v>
      </c>
      <c r="W63" s="17">
        <f>SUM(W62)</f>
        <v>4627.4706527419785</v>
      </c>
      <c r="X63" s="17">
        <f>SUM(X62)</f>
        <v>35434.138154177097</v>
      </c>
      <c r="Y63" s="7">
        <f t="shared" si="9"/>
        <v>0.13059357144817352</v>
      </c>
      <c r="Z63" s="17">
        <f>SUM(Z62)</f>
        <v>-498.64490965401473</v>
      </c>
      <c r="AA63" s="17">
        <f>SUM(AA62)</f>
        <v>-19376.643858630989</v>
      </c>
      <c r="AB63" s="12" t="str">
        <f t="shared" si="2"/>
        <v>N.A</v>
      </c>
      <c r="AC63" s="12">
        <f>SUM(AC62)</f>
        <v>1.550251107222389E-2</v>
      </c>
      <c r="AD63" s="12">
        <f>SUM(AD62)</f>
        <v>0</v>
      </c>
    </row>
    <row r="64" spans="1:30" ht="12.75" hidden="1" customHeight="1" outlineLevel="2" x14ac:dyDescent="0.3">
      <c r="A64" s="4" t="s">
        <v>73</v>
      </c>
      <c r="B64" s="4" t="s">
        <v>74</v>
      </c>
      <c r="C64" s="16">
        <v>18413.9605267966</v>
      </c>
      <c r="D64" s="16">
        <v>202780.27785942302</v>
      </c>
      <c r="E64" s="5">
        <f t="shared" si="43"/>
        <v>9.0807452880412948E-2</v>
      </c>
      <c r="F64" s="16">
        <v>420.03384025399993</v>
      </c>
      <c r="G64" s="16">
        <v>4895.1576038719804</v>
      </c>
      <c r="H64" s="5">
        <f t="shared" si="44"/>
        <v>8.5805989151761089E-2</v>
      </c>
      <c r="I64" s="16">
        <v>-11.632671739335374</v>
      </c>
      <c r="J64" s="16">
        <v>664.20589829348</v>
      </c>
      <c r="K64" s="13" t="str">
        <f t="shared" si="35"/>
        <v>N.A</v>
      </c>
      <c r="L64" s="13">
        <f t="shared" si="36"/>
        <v>-5.0014637286518587E-3</v>
      </c>
      <c r="M64" s="13" t="str">
        <f t="shared" si="37"/>
        <v>N.A</v>
      </c>
      <c r="N64" s="16">
        <v>341.787942805</v>
      </c>
      <c r="O64" s="16">
        <v>4033.7163712249849</v>
      </c>
      <c r="P64" s="5">
        <f t="shared" si="48"/>
        <v>8.4732765358314879E-2</v>
      </c>
      <c r="Q64" s="16">
        <v>122.4295038187104</v>
      </c>
      <c r="R64" s="16">
        <v>792.30176803721906</v>
      </c>
      <c r="S64" s="13">
        <f t="shared" si="1"/>
        <v>0.15452383013356999</v>
      </c>
      <c r="T64" s="16">
        <v>7273.8963517304801</v>
      </c>
      <c r="U64" s="16">
        <v>105543.616317464</v>
      </c>
      <c r="V64" s="5">
        <f t="shared" si="8"/>
        <v>6.8918392277287258E-2</v>
      </c>
      <c r="W64" s="16">
        <v>13516.275104520897</v>
      </c>
      <c r="X64" s="16">
        <v>133230.21919496715</v>
      </c>
      <c r="Y64" s="5">
        <f t="shared" si="9"/>
        <v>0.10145052065658901</v>
      </c>
      <c r="Z64" s="16">
        <v>9870.7770983609444</v>
      </c>
      <c r="AA64" s="16">
        <v>81545.793355586313</v>
      </c>
      <c r="AB64" s="13">
        <f t="shared" si="2"/>
        <v>0.12104581600326958</v>
      </c>
      <c r="AC64" s="13">
        <f t="shared" si="10"/>
        <v>3.253212837930175E-2</v>
      </c>
      <c r="AD64" s="13">
        <f t="shared" si="11"/>
        <v>5.2127423725982322E-2</v>
      </c>
    </row>
    <row r="65" spans="1:30" ht="12.75" hidden="1" customHeight="1" outlineLevel="2" x14ac:dyDescent="0.3">
      <c r="A65" s="4"/>
      <c r="B65" s="4" t="s">
        <v>75</v>
      </c>
      <c r="C65" s="16">
        <v>0</v>
      </c>
      <c r="D65" s="16">
        <v>1.2079200000000002E-2</v>
      </c>
      <c r="E65" s="5">
        <f t="shared" si="43"/>
        <v>0</v>
      </c>
      <c r="F65" s="16">
        <v>0</v>
      </c>
      <c r="G65" s="16">
        <v>0</v>
      </c>
      <c r="H65" s="5">
        <f t="shared" si="44"/>
        <v>0</v>
      </c>
      <c r="I65" s="16">
        <v>0</v>
      </c>
      <c r="J65" s="16">
        <v>0</v>
      </c>
      <c r="K65" s="13" t="str">
        <f t="shared" si="35"/>
        <v>N.A</v>
      </c>
      <c r="L65" s="13">
        <f t="shared" si="36"/>
        <v>0</v>
      </c>
      <c r="M65" s="13" t="str">
        <f t="shared" si="37"/>
        <v>N.A</v>
      </c>
      <c r="N65" s="16">
        <v>0</v>
      </c>
      <c r="O65" s="16">
        <v>0</v>
      </c>
      <c r="P65" s="5">
        <f t="shared" si="48"/>
        <v>0</v>
      </c>
      <c r="Q65" s="16">
        <v>0</v>
      </c>
      <c r="R65" s="16">
        <v>0</v>
      </c>
      <c r="S65" s="13" t="str">
        <f t="shared" si="1"/>
        <v>N.A</v>
      </c>
      <c r="T65" s="16">
        <v>0</v>
      </c>
      <c r="U65" s="16">
        <v>1.18616E-2</v>
      </c>
      <c r="V65" s="5">
        <f t="shared" si="8"/>
        <v>0</v>
      </c>
      <c r="W65" s="16">
        <v>0</v>
      </c>
      <c r="X65" s="16">
        <v>0</v>
      </c>
      <c r="Y65" s="5">
        <f t="shared" si="9"/>
        <v>0</v>
      </c>
      <c r="Z65" s="16">
        <v>0</v>
      </c>
      <c r="AA65" s="16">
        <v>0</v>
      </c>
      <c r="AB65" s="13" t="str">
        <f t="shared" si="2"/>
        <v>N.A</v>
      </c>
      <c r="AC65" s="13">
        <f t="shared" si="10"/>
        <v>0</v>
      </c>
      <c r="AD65" s="13" t="str">
        <f t="shared" si="11"/>
        <v>N.A</v>
      </c>
    </row>
    <row r="66" spans="1:30" outlineLevel="1" collapsed="1" x14ac:dyDescent="0.3">
      <c r="A66" s="6" t="s">
        <v>76</v>
      </c>
      <c r="B66" s="6"/>
      <c r="C66" s="17">
        <f>SUM(C64:C65)</f>
        <v>18413.9605267966</v>
      </c>
      <c r="D66" s="17">
        <f>SUM(D64:D65)</f>
        <v>202780.28993862303</v>
      </c>
      <c r="E66" s="7">
        <f t="shared" si="43"/>
        <v>9.0807447471201896E-2</v>
      </c>
      <c r="F66" s="17">
        <f>SUM(F64:F65)</f>
        <v>420.03384025399993</v>
      </c>
      <c r="G66" s="17">
        <f>SUM(G64:G65)</f>
        <v>4895.1576038719804</v>
      </c>
      <c r="H66" s="7">
        <f t="shared" si="44"/>
        <v>8.5805989151761089E-2</v>
      </c>
      <c r="I66" s="17">
        <f>SUM(I64:I65)</f>
        <v>-11.632671739335374</v>
      </c>
      <c r="J66" s="17">
        <f>SUM(J64:J65)</f>
        <v>664.20589829348</v>
      </c>
      <c r="K66" s="12" t="str">
        <f t="shared" si="35"/>
        <v>N.A</v>
      </c>
      <c r="L66" s="12">
        <f t="shared" si="36"/>
        <v>-5.0014583194408074E-3</v>
      </c>
      <c r="M66" s="12" t="str">
        <f t="shared" si="37"/>
        <v>N.A</v>
      </c>
      <c r="N66" s="17">
        <f>SUM(N64:N65)</f>
        <v>341.787942805</v>
      </c>
      <c r="O66" s="17">
        <f>SUM(O64:O65)</f>
        <v>4033.7163712249849</v>
      </c>
      <c r="P66" s="7">
        <f t="shared" si="48"/>
        <v>8.4732765358314879E-2</v>
      </c>
      <c r="Q66" s="17">
        <f>SUM(Q64:Q65)</f>
        <v>122.4295038187104</v>
      </c>
      <c r="R66" s="17">
        <f>SUM(R64:R65)</f>
        <v>792.30176803721906</v>
      </c>
      <c r="S66" s="12">
        <f t="shared" si="1"/>
        <v>0.15452383013356999</v>
      </c>
      <c r="T66" s="17">
        <f>SUM(T64:T65)</f>
        <v>7273.8963517304801</v>
      </c>
      <c r="U66" s="17">
        <f>SUM(U64:U65)</f>
        <v>105543.62817906399</v>
      </c>
      <c r="V66" s="7">
        <f t="shared" si="8"/>
        <v>6.8918384531841931E-2</v>
      </c>
      <c r="W66" s="17">
        <f>SUM(W64:W65)</f>
        <v>13516.275104520897</v>
      </c>
      <c r="X66" s="17">
        <f>SUM(X64:X65)</f>
        <v>133230.21919496715</v>
      </c>
      <c r="Y66" s="7">
        <f t="shared" si="9"/>
        <v>0.10145052065658901</v>
      </c>
      <c r="Z66" s="17">
        <f>SUM(Z64:Z65)</f>
        <v>9870.7770983609444</v>
      </c>
      <c r="AA66" s="17">
        <f>SUM(AA64:AA65)</f>
        <v>81545.793355586313</v>
      </c>
      <c r="AB66" s="12">
        <f t="shared" si="2"/>
        <v>0.12104581600326958</v>
      </c>
      <c r="AC66" s="12">
        <f t="shared" si="10"/>
        <v>3.2532136124747077E-2</v>
      </c>
      <c r="AD66" s="12">
        <f t="shared" si="11"/>
        <v>5.2127431471427649E-2</v>
      </c>
    </row>
    <row r="67" spans="1:30" ht="12.75" hidden="1" customHeight="1" outlineLevel="2" x14ac:dyDescent="0.3">
      <c r="A67" s="4" t="s">
        <v>33</v>
      </c>
      <c r="B67" s="4" t="s">
        <v>34</v>
      </c>
      <c r="C67" s="16">
        <v>8831.2555502969499</v>
      </c>
      <c r="D67" s="16">
        <v>47939.492813065903</v>
      </c>
      <c r="E67" s="5">
        <f>IFERROR(C67/D67,)</f>
        <v>0.18421670802261789</v>
      </c>
      <c r="F67" s="16">
        <v>131.08453094500001</v>
      </c>
      <c r="G67" s="16">
        <v>1023.6649670829989</v>
      </c>
      <c r="H67" s="5">
        <f>IFERROR(F67/G67,)</f>
        <v>0.12805413407722066</v>
      </c>
      <c r="I67" s="16">
        <v>60.248911197003601</v>
      </c>
      <c r="J67" s="16">
        <v>717.96105712500287</v>
      </c>
      <c r="K67" s="13">
        <f t="shared" si="35"/>
        <v>8.3916684058413737E-2</v>
      </c>
      <c r="L67" s="13">
        <f t="shared" si="36"/>
        <v>-5.6162573945397226E-2</v>
      </c>
      <c r="M67" s="13">
        <f t="shared" si="37"/>
        <v>-0.10030002396420415</v>
      </c>
      <c r="N67" s="16">
        <v>115.54156025500001</v>
      </c>
      <c r="O67" s="16">
        <v>930.55818168199903</v>
      </c>
      <c r="P67" s="5">
        <f>IFERROR(N67/O67,)</f>
        <v>0.12416371434847498</v>
      </c>
      <c r="Q67" s="16">
        <v>52.959091839003612</v>
      </c>
      <c r="R67" s="16">
        <v>683.75203715200291</v>
      </c>
      <c r="S67" s="13">
        <f t="shared" si="1"/>
        <v>7.7453651267484894E-2</v>
      </c>
      <c r="T67" s="16">
        <v>3811.2676248456701</v>
      </c>
      <c r="U67" s="16">
        <v>28977.703314824201</v>
      </c>
      <c r="V67" s="5">
        <f>IFERROR(T67/U67,)</f>
        <v>0.13152414404408405</v>
      </c>
      <c r="W67" s="16">
        <v>2038.7781312029897</v>
      </c>
      <c r="X67" s="16">
        <v>12601.243782389854</v>
      </c>
      <c r="Y67" s="5">
        <f>IFERROR(W67/X67,)</f>
        <v>0.16179181725316411</v>
      </c>
      <c r="Z67" s="16">
        <v>1522.5468847539919</v>
      </c>
      <c r="AA67" s="16">
        <v>6497.4837127088949</v>
      </c>
      <c r="AB67" s="13">
        <f t="shared" si="2"/>
        <v>0.23432869585743371</v>
      </c>
      <c r="AC67" s="13">
        <f t="shared" si="10"/>
        <v>3.0267673209080054E-2</v>
      </c>
      <c r="AD67" s="13">
        <f t="shared" si="11"/>
        <v>0.10280455181334966</v>
      </c>
    </row>
    <row r="68" spans="1:30" outlineLevel="1" collapsed="1" x14ac:dyDescent="0.3">
      <c r="A68" s="6" t="s">
        <v>35</v>
      </c>
      <c r="B68" s="6"/>
      <c r="C68" s="17">
        <f>C67</f>
        <v>8831.2555502969499</v>
      </c>
      <c r="D68" s="17">
        <f>D67</f>
        <v>47939.492813065903</v>
      </c>
      <c r="E68" s="7">
        <f>IFERROR(C68/D68,)</f>
        <v>0.18421670802261789</v>
      </c>
      <c r="F68" s="17">
        <f>F67</f>
        <v>131.08453094500001</v>
      </c>
      <c r="G68" s="17">
        <f>G67</f>
        <v>1023.6649670829989</v>
      </c>
      <c r="H68" s="7">
        <f>IFERROR(F68/G68,)</f>
        <v>0.12805413407722066</v>
      </c>
      <c r="I68" s="17">
        <f>I67</f>
        <v>60.248911197003601</v>
      </c>
      <c r="J68" s="17">
        <f>J67</f>
        <v>717.96105712500287</v>
      </c>
      <c r="K68" s="12">
        <f t="shared" si="35"/>
        <v>8.3916684058413737E-2</v>
      </c>
      <c r="L68" s="12">
        <f t="shared" si="36"/>
        <v>-5.6162573945397226E-2</v>
      </c>
      <c r="M68" s="12">
        <f t="shared" si="37"/>
        <v>-0.10030002396420415</v>
      </c>
      <c r="N68" s="17">
        <f>N67</f>
        <v>115.54156025500001</v>
      </c>
      <c r="O68" s="17">
        <f>O67</f>
        <v>930.55818168199903</v>
      </c>
      <c r="P68" s="7">
        <f>IFERROR(N68/O68,)</f>
        <v>0.12416371434847498</v>
      </c>
      <c r="Q68" s="17">
        <f>Q67</f>
        <v>52.959091839003612</v>
      </c>
      <c r="R68" s="17">
        <f>R67</f>
        <v>683.75203715200291</v>
      </c>
      <c r="S68" s="12">
        <f t="shared" si="1"/>
        <v>7.7453651267484894E-2</v>
      </c>
      <c r="T68" s="17">
        <f>T67</f>
        <v>3811.2676248456701</v>
      </c>
      <c r="U68" s="17">
        <f>U67</f>
        <v>28977.703314824201</v>
      </c>
      <c r="V68" s="7">
        <f>IFERROR(T68/U68,)</f>
        <v>0.13152414404408405</v>
      </c>
      <c r="W68" s="17">
        <f>W67</f>
        <v>2038.7781312029897</v>
      </c>
      <c r="X68" s="17">
        <f>X67</f>
        <v>12601.243782389854</v>
      </c>
      <c r="Y68" s="7">
        <f>IFERROR(W68/X68,)</f>
        <v>0.16179181725316411</v>
      </c>
      <c r="Z68" s="17">
        <f>Z67</f>
        <v>1522.5468847539919</v>
      </c>
      <c r="AA68" s="17">
        <f>AA67</f>
        <v>6497.4837127088949</v>
      </c>
      <c r="AB68" s="12">
        <f t="shared" si="2"/>
        <v>0.23432869585743371</v>
      </c>
      <c r="AC68" s="12">
        <f t="shared" si="10"/>
        <v>3.0267673209080054E-2</v>
      </c>
      <c r="AD68" s="12">
        <f t="shared" si="11"/>
        <v>0.10280455181334966</v>
      </c>
    </row>
    <row r="69" spans="1:30" ht="12.75" hidden="1" customHeight="1" outlineLevel="2" x14ac:dyDescent="0.3">
      <c r="A69" s="4" t="s">
        <v>77</v>
      </c>
      <c r="B69" s="4" t="s">
        <v>78</v>
      </c>
      <c r="C69" s="16">
        <v>0</v>
      </c>
      <c r="D69" s="16">
        <v>0</v>
      </c>
      <c r="E69" s="5">
        <f>IFERROR(C69/D69,)</f>
        <v>0</v>
      </c>
      <c r="F69" s="16">
        <v>0</v>
      </c>
      <c r="G69" s="16">
        <v>0</v>
      </c>
      <c r="H69" s="5">
        <f>IFERROR(F69/G69,)</f>
        <v>0</v>
      </c>
      <c r="I69" s="16">
        <v>0</v>
      </c>
      <c r="J69" s="16">
        <v>0</v>
      </c>
      <c r="K69" s="13" t="str">
        <f t="shared" si="35"/>
        <v>N.A</v>
      </c>
      <c r="L69" s="13">
        <f t="shared" si="36"/>
        <v>0</v>
      </c>
      <c r="M69" s="13" t="str">
        <f t="shared" si="37"/>
        <v>N.A</v>
      </c>
      <c r="N69" s="16">
        <v>0</v>
      </c>
      <c r="O69" s="16">
        <v>0</v>
      </c>
      <c r="P69" s="5">
        <f>IFERROR(N69/O69,)</f>
        <v>0</v>
      </c>
      <c r="Q69" s="16">
        <v>0</v>
      </c>
      <c r="R69" s="16">
        <v>0</v>
      </c>
      <c r="S69" s="13" t="str">
        <f t="shared" si="1"/>
        <v>N.A</v>
      </c>
      <c r="T69" s="16">
        <v>0</v>
      </c>
      <c r="U69" s="16">
        <v>0</v>
      </c>
      <c r="V69" s="5">
        <f t="shared" ref="V69:V81" si="49">IFERROR(T69/U69,)</f>
        <v>0</v>
      </c>
      <c r="W69" s="16">
        <v>0</v>
      </c>
      <c r="X69" s="16">
        <v>0</v>
      </c>
      <c r="Y69" s="5">
        <f t="shared" ref="Y69:Y81" si="50">IFERROR(W69/X69,)</f>
        <v>0</v>
      </c>
      <c r="Z69" s="16">
        <v>0</v>
      </c>
      <c r="AA69" s="16">
        <v>0</v>
      </c>
      <c r="AB69" s="13" t="str">
        <f t="shared" si="2"/>
        <v>N.A</v>
      </c>
      <c r="AC69" s="13">
        <f t="shared" si="10"/>
        <v>0</v>
      </c>
      <c r="AD69" s="13" t="str">
        <f t="shared" si="11"/>
        <v>N.A</v>
      </c>
    </row>
    <row r="70" spans="1:30" outlineLevel="1" collapsed="1" x14ac:dyDescent="0.3">
      <c r="A70" s="6" t="s">
        <v>79</v>
      </c>
      <c r="B70" s="6"/>
      <c r="C70" s="17">
        <f>C69</f>
        <v>0</v>
      </c>
      <c r="D70" s="17">
        <f>D69</f>
        <v>0</v>
      </c>
      <c r="E70" s="7">
        <f t="shared" si="43"/>
        <v>0</v>
      </c>
      <c r="F70" s="17">
        <f>F69</f>
        <v>0</v>
      </c>
      <c r="G70" s="17">
        <f>G69</f>
        <v>0</v>
      </c>
      <c r="H70" s="7">
        <f t="shared" si="44"/>
        <v>0</v>
      </c>
      <c r="I70" s="17">
        <f>I69</f>
        <v>0</v>
      </c>
      <c r="J70" s="17">
        <f>J69</f>
        <v>0</v>
      </c>
      <c r="K70" s="12" t="str">
        <f t="shared" si="35"/>
        <v>N.A</v>
      </c>
      <c r="L70" s="12">
        <f t="shared" si="36"/>
        <v>0</v>
      </c>
      <c r="M70" s="12" t="str">
        <f t="shared" si="37"/>
        <v>N.A</v>
      </c>
      <c r="N70" s="17">
        <f>N69</f>
        <v>0</v>
      </c>
      <c r="O70" s="17">
        <f>O69</f>
        <v>0</v>
      </c>
      <c r="P70" s="7">
        <f t="shared" ref="P70:P81" si="51">IFERROR(N70/O70,)</f>
        <v>0</v>
      </c>
      <c r="Q70" s="17">
        <f>Q69</f>
        <v>0</v>
      </c>
      <c r="R70" s="17">
        <f>R69</f>
        <v>0</v>
      </c>
      <c r="S70" s="12" t="str">
        <f t="shared" ref="S70:S81" si="52">IF(AND(Q70&gt;0,R70&gt;0),Q70/R70,"N.A")</f>
        <v>N.A</v>
      </c>
      <c r="T70" s="17">
        <f>T69</f>
        <v>0</v>
      </c>
      <c r="U70" s="17">
        <f>U69</f>
        <v>0</v>
      </c>
      <c r="V70" s="7">
        <f t="shared" si="49"/>
        <v>0</v>
      </c>
      <c r="W70" s="17">
        <f>W69</f>
        <v>0</v>
      </c>
      <c r="X70" s="17">
        <f>X69</f>
        <v>0</v>
      </c>
      <c r="Y70" s="7">
        <f t="shared" si="50"/>
        <v>0</v>
      </c>
      <c r="Z70" s="17">
        <f>Z69</f>
        <v>0</v>
      </c>
      <c r="AA70" s="17">
        <f>AA69</f>
        <v>0</v>
      </c>
      <c r="AB70" s="12" t="str">
        <f t="shared" si="2"/>
        <v>N.A</v>
      </c>
      <c r="AC70" s="12">
        <f t="shared" si="10"/>
        <v>0</v>
      </c>
      <c r="AD70" s="12" t="str">
        <f t="shared" si="11"/>
        <v>N.A</v>
      </c>
    </row>
    <row r="71" spans="1:30" ht="12.75" hidden="1" customHeight="1" outlineLevel="2" x14ac:dyDescent="0.3">
      <c r="A71" s="4" t="s">
        <v>80</v>
      </c>
      <c r="B71" s="4" t="s">
        <v>81</v>
      </c>
      <c r="C71" s="16">
        <v>5006.9658577627697</v>
      </c>
      <c r="D71" s="16">
        <v>74232.064205031304</v>
      </c>
      <c r="E71" s="5">
        <f t="shared" si="43"/>
        <v>6.7450176839126713E-2</v>
      </c>
      <c r="F71" s="16">
        <v>18.230043474000002</v>
      </c>
      <c r="G71" s="16">
        <v>718.14524614339837</v>
      </c>
      <c r="H71" s="5">
        <f t="shared" si="44"/>
        <v>2.5384897514673304E-2</v>
      </c>
      <c r="I71" s="16">
        <v>-114.0087279480001</v>
      </c>
      <c r="J71" s="16">
        <v>-732.50777115160167</v>
      </c>
      <c r="K71" s="13" t="str">
        <f t="shared" si="35"/>
        <v>N.A</v>
      </c>
      <c r="L71" s="13">
        <f t="shared" si="36"/>
        <v>-4.2065279324453406E-2</v>
      </c>
      <c r="M71" s="13" t="str">
        <f t="shared" si="37"/>
        <v>N.A</v>
      </c>
      <c r="N71" s="16">
        <v>16.791994015</v>
      </c>
      <c r="O71" s="16">
        <v>688.03941095009907</v>
      </c>
      <c r="P71" s="5">
        <f t="shared" si="51"/>
        <v>2.4405570012061215E-2</v>
      </c>
      <c r="Q71" s="16">
        <v>-77.439779414</v>
      </c>
      <c r="R71" s="16">
        <v>-331.23529399590086</v>
      </c>
      <c r="S71" s="13" t="str">
        <f t="shared" si="52"/>
        <v>N.A</v>
      </c>
      <c r="T71" s="16">
        <v>6211.8558221779904</v>
      </c>
      <c r="U71" s="16">
        <v>81604.125959651996</v>
      </c>
      <c r="V71" s="5">
        <f t="shared" si="49"/>
        <v>7.612183512938249E-2</v>
      </c>
      <c r="W71" s="16">
        <v>743.05157772100188</v>
      </c>
      <c r="X71" s="16">
        <v>13549.858540821933</v>
      </c>
      <c r="Y71" s="5">
        <f t="shared" si="50"/>
        <v>5.4838327314074557E-2</v>
      </c>
      <c r="Z71" s="16">
        <v>-1176.7476983079978</v>
      </c>
      <c r="AA71" s="16">
        <v>-7326.0445865679503</v>
      </c>
      <c r="AB71" s="13" t="str">
        <f t="shared" si="2"/>
        <v>N.A</v>
      </c>
      <c r="AC71" s="13">
        <f t="shared" si="10"/>
        <v>-2.1283507815307932E-2</v>
      </c>
      <c r="AD71" s="13" t="str">
        <f t="shared" si="11"/>
        <v>N.A</v>
      </c>
    </row>
    <row r="72" spans="1:30" ht="12.75" hidden="1" customHeight="1" outlineLevel="2" x14ac:dyDescent="0.3">
      <c r="A72" s="4"/>
      <c r="B72" s="4" t="s">
        <v>82</v>
      </c>
      <c r="C72" s="16">
        <v>15983.8518216746</v>
      </c>
      <c r="D72" s="16">
        <v>169584.665859831</v>
      </c>
      <c r="E72" s="5">
        <f t="shared" si="43"/>
        <v>9.425293106916835E-2</v>
      </c>
      <c r="F72" s="16">
        <v>99.255158821000009</v>
      </c>
      <c r="G72" s="16">
        <v>1779.4689014310193</v>
      </c>
      <c r="H72" s="5">
        <f t="shared" si="44"/>
        <v>5.5777967651573265E-2</v>
      </c>
      <c r="I72" s="16">
        <v>-904.184774737</v>
      </c>
      <c r="J72" s="16">
        <v>-6333.3298492849817</v>
      </c>
      <c r="K72" s="13" t="str">
        <f t="shared" si="35"/>
        <v>N.A</v>
      </c>
      <c r="L72" s="13">
        <f t="shared" si="36"/>
        <v>-3.8474963417595084E-2</v>
      </c>
      <c r="M72" s="13" t="str">
        <f t="shared" si="37"/>
        <v>N.A</v>
      </c>
      <c r="N72" s="16">
        <v>91.845847423999984</v>
      </c>
      <c r="O72" s="16">
        <v>1546.6390410712377</v>
      </c>
      <c r="P72" s="5">
        <f t="shared" si="51"/>
        <v>5.938415168957939E-2</v>
      </c>
      <c r="Q72" s="16">
        <v>-572.50457834299993</v>
      </c>
      <c r="R72" s="16">
        <v>-4420.3464066827628</v>
      </c>
      <c r="S72" s="13" t="str">
        <f t="shared" si="52"/>
        <v>N.A</v>
      </c>
      <c r="T72" s="16">
        <v>16658.485247244</v>
      </c>
      <c r="U72" s="16">
        <v>188913.32107426299</v>
      </c>
      <c r="V72" s="5">
        <f t="shared" si="49"/>
        <v>8.8180574839904741E-2</v>
      </c>
      <c r="W72" s="16">
        <v>8348.4513819690001</v>
      </c>
      <c r="X72" s="16">
        <v>83580.257953640859</v>
      </c>
      <c r="Y72" s="5">
        <f t="shared" si="50"/>
        <v>9.988544647229497E-2</v>
      </c>
      <c r="Z72" s="16">
        <v>908.18339704700554</v>
      </c>
      <c r="AA72" s="16">
        <v>-4534.6546978054939</v>
      </c>
      <c r="AB72" s="13" t="str">
        <f t="shared" si="2"/>
        <v>N.A</v>
      </c>
      <c r="AC72" s="13">
        <f t="shared" si="10"/>
        <v>1.1704871632390229E-2</v>
      </c>
      <c r="AD72" s="13" t="str">
        <f t="shared" si="11"/>
        <v>N.A</v>
      </c>
    </row>
    <row r="73" spans="1:30" ht="12.75" hidden="1" customHeight="1" outlineLevel="2" x14ac:dyDescent="0.3">
      <c r="A73" s="4"/>
      <c r="B73" s="4" t="s">
        <v>83</v>
      </c>
      <c r="C73" s="16">
        <v>15281.856188747999</v>
      </c>
      <c r="D73" s="16">
        <v>106877.827412803</v>
      </c>
      <c r="E73" s="5">
        <f t="shared" si="43"/>
        <v>0.14298434538460097</v>
      </c>
      <c r="F73" s="16">
        <v>74.632889317000007</v>
      </c>
      <c r="G73" s="16">
        <v>1858.6275930949218</v>
      </c>
      <c r="H73" s="5">
        <f t="shared" si="44"/>
        <v>4.0154837684683205E-2</v>
      </c>
      <c r="I73" s="16">
        <v>-1213.0650162422132</v>
      </c>
      <c r="J73" s="16">
        <v>-3338.1332012372923</v>
      </c>
      <c r="K73" s="13" t="str">
        <f t="shared" si="35"/>
        <v>N.A</v>
      </c>
      <c r="L73" s="13">
        <f t="shared" si="36"/>
        <v>-0.10282950769991778</v>
      </c>
      <c r="M73" s="13" t="str">
        <f t="shared" si="37"/>
        <v>N.A</v>
      </c>
      <c r="N73" s="16">
        <v>71.140019339000006</v>
      </c>
      <c r="O73" s="16">
        <v>1649.7295834911079</v>
      </c>
      <c r="P73" s="5">
        <f t="shared" si="51"/>
        <v>4.3122230486074963E-2</v>
      </c>
      <c r="Q73" s="16">
        <v>-1147.5968212320001</v>
      </c>
      <c r="R73" s="16">
        <v>-2269.561699265892</v>
      </c>
      <c r="S73" s="13" t="str">
        <f t="shared" si="52"/>
        <v>N.A</v>
      </c>
      <c r="T73" s="16">
        <v>17538.03043617</v>
      </c>
      <c r="U73" s="16">
        <v>121271.424294125</v>
      </c>
      <c r="V73" s="5">
        <f t="shared" si="49"/>
        <v>0.1446179966818418</v>
      </c>
      <c r="W73" s="16">
        <v>7617.1380799070148</v>
      </c>
      <c r="X73" s="16">
        <v>86132.015005568901</v>
      </c>
      <c r="Y73" s="5">
        <f t="shared" si="50"/>
        <v>8.8435619199371165E-2</v>
      </c>
      <c r="Z73" s="16">
        <v>-2275.1501296109927</v>
      </c>
      <c r="AA73" s="16">
        <v>-12245.264400777827</v>
      </c>
      <c r="AB73" s="13" t="str">
        <f t="shared" si="2"/>
        <v>N.A</v>
      </c>
      <c r="AC73" s="13">
        <f t="shared" si="10"/>
        <v>-5.6182377482470638E-2</v>
      </c>
      <c r="AD73" s="13" t="str">
        <f t="shared" si="11"/>
        <v>N.A</v>
      </c>
    </row>
    <row r="74" spans="1:30" ht="12.75" hidden="1" customHeight="1" outlineLevel="2" x14ac:dyDescent="0.3">
      <c r="A74" s="4"/>
      <c r="B74" s="4" t="s">
        <v>45</v>
      </c>
      <c r="C74" s="16">
        <v>3127.1734277205901</v>
      </c>
      <c r="D74" s="16">
        <v>50183.191247423601</v>
      </c>
      <c r="E74" s="5">
        <f t="shared" si="43"/>
        <v>6.2315156728521899E-2</v>
      </c>
      <c r="F74" s="16">
        <v>62.050645260000003</v>
      </c>
      <c r="G74" s="16">
        <v>1017.0055915770187</v>
      </c>
      <c r="H74" s="5">
        <f t="shared" si="44"/>
        <v>6.1013081711557983E-2</v>
      </c>
      <c r="I74" s="16">
        <v>-202.48941954500003</v>
      </c>
      <c r="J74" s="16">
        <v>-325.83814640998139</v>
      </c>
      <c r="K74" s="13" t="str">
        <f t="shared" si="35"/>
        <v>N.A</v>
      </c>
      <c r="L74" s="13">
        <f t="shared" si="36"/>
        <v>-1.3020750169639161E-3</v>
      </c>
      <c r="M74" s="13" t="str">
        <f t="shared" si="37"/>
        <v>N.A</v>
      </c>
      <c r="N74" s="16">
        <v>59.990754282999994</v>
      </c>
      <c r="O74" s="16">
        <v>817.25060092013882</v>
      </c>
      <c r="P74" s="5">
        <f t="shared" si="51"/>
        <v>7.3405579898572937E-2</v>
      </c>
      <c r="Q74" s="16">
        <v>-190.726584269</v>
      </c>
      <c r="R74" s="16">
        <v>-264.07285878486107</v>
      </c>
      <c r="S74" s="13" t="str">
        <f t="shared" si="52"/>
        <v>N.A</v>
      </c>
      <c r="T74" s="16">
        <v>3311.33106977033</v>
      </c>
      <c r="U74" s="16">
        <v>51580.841784161901</v>
      </c>
      <c r="V74" s="5">
        <f t="shared" si="49"/>
        <v>6.4196917988009403E-2</v>
      </c>
      <c r="W74" s="16">
        <v>1692.8303432030007</v>
      </c>
      <c r="X74" s="16">
        <v>21365.279308469064</v>
      </c>
      <c r="Y74" s="5">
        <f t="shared" si="50"/>
        <v>7.9232773827205394E-2</v>
      </c>
      <c r="Z74" s="16">
        <v>-208.20910938299988</v>
      </c>
      <c r="AA74" s="16">
        <v>-2456.145419754017</v>
      </c>
      <c r="AB74" s="13" t="str">
        <f t="shared" ref="AB74:AB81" si="53">IF(AND(Z74&gt;0,AA74&gt;0),Z74/AA74,"N.A")</f>
        <v>N.A</v>
      </c>
      <c r="AC74" s="13">
        <f t="shared" si="10"/>
        <v>1.5035855839195991E-2</v>
      </c>
      <c r="AD74" s="13" t="str">
        <f t="shared" si="11"/>
        <v>N.A</v>
      </c>
    </row>
    <row r="75" spans="1:30" outlineLevel="1" collapsed="1" x14ac:dyDescent="0.3">
      <c r="A75" s="6" t="s">
        <v>84</v>
      </c>
      <c r="B75" s="6"/>
      <c r="C75" s="17">
        <f>SUM(C71:C74)</f>
        <v>39399.847295905958</v>
      </c>
      <c r="D75" s="17">
        <f>SUM(D71:D74)</f>
        <v>400877.7487250889</v>
      </c>
      <c r="E75" s="7">
        <f t="shared" si="43"/>
        <v>9.8283946717445045E-2</v>
      </c>
      <c r="F75" s="17">
        <f>SUM(F71:F74)</f>
        <v>254.16873687200001</v>
      </c>
      <c r="G75" s="17">
        <f>SUM(G71:G74)</f>
        <v>5373.2473322463584</v>
      </c>
      <c r="H75" s="7">
        <f t="shared" si="44"/>
        <v>4.7302631194112807E-2</v>
      </c>
      <c r="I75" s="17">
        <f>SUM(I71:I74)</f>
        <v>-2433.7479384722133</v>
      </c>
      <c r="J75" s="17">
        <f>SUM(J71:J74)</f>
        <v>-10729.808968083858</v>
      </c>
      <c r="K75" s="12" t="str">
        <f t="shared" si="35"/>
        <v>N.A</v>
      </c>
      <c r="L75" s="12">
        <f t="shared" si="36"/>
        <v>-5.0981315523332238E-2</v>
      </c>
      <c r="M75" s="12" t="str">
        <f t="shared" si="37"/>
        <v>N.A</v>
      </c>
      <c r="N75" s="17">
        <f>SUM(N71:N74)</f>
        <v>239.76861506099999</v>
      </c>
      <c r="O75" s="17">
        <f>SUM(O71:O74)</f>
        <v>4701.6586364325831</v>
      </c>
      <c r="P75" s="7">
        <f t="shared" si="51"/>
        <v>5.0996602178444442E-2</v>
      </c>
      <c r="Q75" s="17">
        <f>SUM(Q71:Q74)</f>
        <v>-1988.2677632579998</v>
      </c>
      <c r="R75" s="17">
        <f>SUM(R71:R74)</f>
        <v>-7285.2162587294169</v>
      </c>
      <c r="S75" s="12" t="str">
        <f t="shared" si="52"/>
        <v>N.A</v>
      </c>
      <c r="T75" s="17">
        <f>SUM(T71:T74)</f>
        <v>43719.702575362317</v>
      </c>
      <c r="U75" s="17">
        <f>SUM(U71:U74)</f>
        <v>443369.71311220189</v>
      </c>
      <c r="V75" s="7">
        <f t="shared" si="49"/>
        <v>9.860777875077438E-2</v>
      </c>
      <c r="W75" s="17">
        <f>SUM(W71:W74)</f>
        <v>18401.471382800017</v>
      </c>
      <c r="X75" s="17">
        <f>SUM(X71:X74)</f>
        <v>204627.41080850075</v>
      </c>
      <c r="Y75" s="7">
        <f t="shared" si="50"/>
        <v>8.992671758927212E-2</v>
      </c>
      <c r="Z75" s="17">
        <f>SUM(Z71:Z74)</f>
        <v>-2751.9235402549848</v>
      </c>
      <c r="AA75" s="17">
        <f>SUM(AA71:AA74)</f>
        <v>-26562.109104905285</v>
      </c>
      <c r="AB75" s="12" t="str">
        <f t="shared" si="53"/>
        <v>N.A</v>
      </c>
      <c r="AC75" s="12">
        <f t="shared" ref="AC75:AC81" si="54">Y75-V75</f>
        <v>-8.6810611615022598E-3</v>
      </c>
      <c r="AD75" s="12" t="str">
        <f t="shared" ref="AD75:AD81" si="55">IF(AB75="N.A","N.A",AB75-V75)</f>
        <v>N.A</v>
      </c>
    </row>
    <row r="76" spans="1:30" ht="12.75" hidden="1" customHeight="1" outlineLevel="2" x14ac:dyDescent="0.3">
      <c r="A76" s="4" t="s">
        <v>85</v>
      </c>
      <c r="B76" s="4" t="s">
        <v>86</v>
      </c>
      <c r="C76" s="16">
        <v>13365.712370966601</v>
      </c>
      <c r="D76" s="16">
        <v>119723.92984683299</v>
      </c>
      <c r="E76" s="5">
        <f t="shared" si="43"/>
        <v>0.11163776855692779</v>
      </c>
      <c r="F76" s="16">
        <v>761.53952670299998</v>
      </c>
      <c r="G76" s="16">
        <v>7187.6503933463655</v>
      </c>
      <c r="H76" s="5">
        <f t="shared" si="44"/>
        <v>0.10595110850243356</v>
      </c>
      <c r="I76" s="16">
        <v>-3139.295349259</v>
      </c>
      <c r="J76" s="16">
        <v>-9316.3884913073634</v>
      </c>
      <c r="K76" s="13" t="str">
        <f t="shared" si="35"/>
        <v>N.A</v>
      </c>
      <c r="L76" s="13">
        <f t="shared" si="36"/>
        <v>-5.6866600544942386E-3</v>
      </c>
      <c r="M76" s="13" t="str">
        <f t="shared" si="37"/>
        <v>N.A</v>
      </c>
      <c r="N76" s="16">
        <v>701.32908264700086</v>
      </c>
      <c r="O76" s="16">
        <v>6312.1987465267093</v>
      </c>
      <c r="P76" s="5">
        <f t="shared" si="51"/>
        <v>0.11110693924726428</v>
      </c>
      <c r="Q76" s="16">
        <v>-2930.1836261609992</v>
      </c>
      <c r="R76" s="16">
        <v>-7908.2747203692907</v>
      </c>
      <c r="S76" s="13" t="str">
        <f t="shared" si="52"/>
        <v>N.A</v>
      </c>
      <c r="T76" s="16">
        <v>12912.0748390801</v>
      </c>
      <c r="U76" s="16">
        <v>125576.051327439</v>
      </c>
      <c r="V76" s="5">
        <f t="shared" si="49"/>
        <v>0.10282274926300973</v>
      </c>
      <c r="W76" s="16">
        <v>27930.059480245112</v>
      </c>
      <c r="X76" s="16">
        <v>235192.40539139352</v>
      </c>
      <c r="Y76" s="5">
        <f t="shared" si="50"/>
        <v>0.11875408746198897</v>
      </c>
      <c r="Z76" s="16">
        <v>3016.0354375489987</v>
      </c>
      <c r="AA76" s="16">
        <v>6059.7760605875665</v>
      </c>
      <c r="AB76" s="13">
        <f t="shared" si="53"/>
        <v>0.497714009130654</v>
      </c>
      <c r="AC76" s="13">
        <f t="shared" si="54"/>
        <v>1.5931338198979239E-2</v>
      </c>
      <c r="AD76" s="13">
        <f t="shared" si="55"/>
        <v>0.39489125986764428</v>
      </c>
    </row>
    <row r="77" spans="1:30" ht="12.75" hidden="1" customHeight="1" outlineLevel="2" x14ac:dyDescent="0.3">
      <c r="A77" s="4"/>
      <c r="B77" s="4" t="s">
        <v>87</v>
      </c>
      <c r="C77" s="16">
        <v>31593.963204976</v>
      </c>
      <c r="D77" s="16">
        <v>270026.99774672999</v>
      </c>
      <c r="E77" s="5">
        <f t="shared" si="43"/>
        <v>0.11700297921546847</v>
      </c>
      <c r="F77" s="16">
        <v>3564.627843581</v>
      </c>
      <c r="G77" s="16">
        <v>36737.387844460522</v>
      </c>
      <c r="H77" s="5">
        <f t="shared" si="44"/>
        <v>9.7029975529914964E-2</v>
      </c>
      <c r="I77" s="16">
        <v>-2614.4527192070104</v>
      </c>
      <c r="J77" s="16">
        <v>-23815.845671783478</v>
      </c>
      <c r="K77" s="13" t="str">
        <f t="shared" si="35"/>
        <v>N.A</v>
      </c>
      <c r="L77" s="13">
        <f t="shared" si="36"/>
        <v>-1.9973003685553506E-2</v>
      </c>
      <c r="M77" s="13" t="str">
        <f t="shared" si="37"/>
        <v>N.A</v>
      </c>
      <c r="N77" s="16">
        <v>2717.6898208439998</v>
      </c>
      <c r="O77" s="16">
        <v>29192.676284210196</v>
      </c>
      <c r="P77" s="5">
        <f t="shared" si="51"/>
        <v>9.3094918546880553E-2</v>
      </c>
      <c r="Q77" s="16">
        <v>-1732.4551357139997</v>
      </c>
      <c r="R77" s="16">
        <v>-19759.538703629802</v>
      </c>
      <c r="S77" s="13" t="str">
        <f t="shared" si="52"/>
        <v>N.A</v>
      </c>
      <c r="T77" s="16">
        <v>31653.471773402802</v>
      </c>
      <c r="U77" s="16">
        <v>269505.56959994597</v>
      </c>
      <c r="V77" s="5">
        <f t="shared" si="49"/>
        <v>0.1174501581558749</v>
      </c>
      <c r="W77" s="16">
        <v>78748.808598139949</v>
      </c>
      <c r="X77" s="16">
        <v>963300.60866714746</v>
      </c>
      <c r="Y77" s="5">
        <f t="shared" si="50"/>
        <v>8.1748945126380895E-2</v>
      </c>
      <c r="Z77" s="16">
        <v>3869.5203657350012</v>
      </c>
      <c r="AA77" s="16">
        <v>47061.029426392626</v>
      </c>
      <c r="AB77" s="13">
        <f t="shared" si="53"/>
        <v>8.2223453521926324E-2</v>
      </c>
      <c r="AC77" s="13">
        <f t="shared" si="54"/>
        <v>-3.5701213029494E-2</v>
      </c>
      <c r="AD77" s="13">
        <f t="shared" si="55"/>
        <v>-3.5226704633948572E-2</v>
      </c>
    </row>
    <row r="78" spans="1:30" ht="12.75" hidden="1" customHeight="1" outlineLevel="2" x14ac:dyDescent="0.3">
      <c r="A78" s="4"/>
      <c r="B78" s="4" t="s">
        <v>88</v>
      </c>
      <c r="C78" s="16">
        <v>16180.2990510449</v>
      </c>
      <c r="D78" s="16">
        <v>117360.30587765301</v>
      </c>
      <c r="E78" s="5">
        <f t="shared" si="43"/>
        <v>0.13786858282316258</v>
      </c>
      <c r="F78" s="16">
        <v>1404.780168066</v>
      </c>
      <c r="G78" s="16">
        <v>15864.963438465689</v>
      </c>
      <c r="H78" s="5">
        <f t="shared" si="44"/>
        <v>8.8546070308615679E-2</v>
      </c>
      <c r="I78" s="16">
        <v>-807.7587824929999</v>
      </c>
      <c r="J78" s="16">
        <v>-2487.6419327553126</v>
      </c>
      <c r="K78" s="13" t="str">
        <f t="shared" si="35"/>
        <v>N.A</v>
      </c>
      <c r="L78" s="13">
        <f t="shared" si="36"/>
        <v>-4.9322512514546904E-2</v>
      </c>
      <c r="M78" s="13" t="str">
        <f t="shared" si="37"/>
        <v>N.A</v>
      </c>
      <c r="N78" s="16">
        <v>1291.4472204380002</v>
      </c>
      <c r="O78" s="16">
        <v>13622.320819302606</v>
      </c>
      <c r="P78" s="5">
        <f t="shared" si="51"/>
        <v>9.480375903407301E-2</v>
      </c>
      <c r="Q78" s="16">
        <v>-431.91149381799988</v>
      </c>
      <c r="R78" s="16">
        <v>174.49842721660534</v>
      </c>
      <c r="S78" s="13" t="str">
        <f t="shared" si="52"/>
        <v>N.A</v>
      </c>
      <c r="T78" s="16">
        <v>15418.8266227244</v>
      </c>
      <c r="U78" s="16">
        <v>127935.691911602</v>
      </c>
      <c r="V78" s="5">
        <f t="shared" si="49"/>
        <v>0.12052013314140779</v>
      </c>
      <c r="W78" s="16">
        <v>26142.741309315032</v>
      </c>
      <c r="X78" s="16">
        <v>329906.34408471576</v>
      </c>
      <c r="Y78" s="5">
        <f t="shared" si="50"/>
        <v>7.9242917810037353E-2</v>
      </c>
      <c r="Z78" s="16">
        <v>646.75493256901348</v>
      </c>
      <c r="AA78" s="16">
        <v>-2649.9525266616311</v>
      </c>
      <c r="AB78" s="13" t="str">
        <f t="shared" si="53"/>
        <v>N.A</v>
      </c>
      <c r="AC78" s="13">
        <f t="shared" si="54"/>
        <v>-4.1277215331370437E-2</v>
      </c>
      <c r="AD78" s="13" t="str">
        <f t="shared" si="55"/>
        <v>N.A</v>
      </c>
    </row>
    <row r="79" spans="1:30" outlineLevel="1" collapsed="1" x14ac:dyDescent="0.3">
      <c r="A79" s="6" t="s">
        <v>89</v>
      </c>
      <c r="B79" s="6"/>
      <c r="C79" s="17">
        <f>SUM(C76:C78)</f>
        <v>61139.974626987503</v>
      </c>
      <c r="D79" s="17">
        <f>SUM(D76:D78)</f>
        <v>507111.23347121599</v>
      </c>
      <c r="E79" s="7">
        <f t="shared" si="43"/>
        <v>0.1205652144766733</v>
      </c>
      <c r="F79" s="17">
        <f>SUM(F76:F78)</f>
        <v>5730.9475383499994</v>
      </c>
      <c r="G79" s="17">
        <f>SUM(G76:G78)</f>
        <v>59790.001676272579</v>
      </c>
      <c r="H79" s="7">
        <f t="shared" si="44"/>
        <v>9.5851269069696363E-2</v>
      </c>
      <c r="I79" s="17">
        <f>SUM(I76:I78)</f>
        <v>-6561.5068509590101</v>
      </c>
      <c r="J79" s="17">
        <f>SUM(J76:J78)</f>
        <v>-35619.876095846157</v>
      </c>
      <c r="K79" s="12" t="str">
        <f t="shared" si="35"/>
        <v>N.A</v>
      </c>
      <c r="L79" s="12">
        <f t="shared" si="36"/>
        <v>-2.4713945406976939E-2</v>
      </c>
      <c r="M79" s="12" t="str">
        <f t="shared" si="37"/>
        <v>N.A</v>
      </c>
      <c r="N79" s="17">
        <f>SUM(N76:N78)</f>
        <v>4710.4661239290008</v>
      </c>
      <c r="O79" s="17">
        <f>SUM(O76:O78)</f>
        <v>49127.195850039512</v>
      </c>
      <c r="P79" s="7">
        <f t="shared" si="51"/>
        <v>9.5883065223337227E-2</v>
      </c>
      <c r="Q79" s="17">
        <f>SUM(Q76:Q78)</f>
        <v>-5094.5502556929987</v>
      </c>
      <c r="R79" s="17">
        <f>SUM(R76:R78)</f>
        <v>-27493.314996782487</v>
      </c>
      <c r="S79" s="12" t="str">
        <f t="shared" si="52"/>
        <v>N.A</v>
      </c>
      <c r="T79" s="17">
        <f>SUM(T76:T78)</f>
        <v>59984.373235207306</v>
      </c>
      <c r="U79" s="17">
        <f>SUM(U76:U78)</f>
        <v>523017.31283898692</v>
      </c>
      <c r="V79" s="7">
        <f t="shared" si="49"/>
        <v>0.11468907770874068</v>
      </c>
      <c r="W79" s="17">
        <f>SUM(W76:W78)</f>
        <v>132821.6093877001</v>
      </c>
      <c r="X79" s="17">
        <f>SUM(X76:X78)</f>
        <v>1528399.3581432567</v>
      </c>
      <c r="Y79" s="7">
        <f t="shared" si="50"/>
        <v>8.690242421264531E-2</v>
      </c>
      <c r="Z79" s="17">
        <f>SUM(Z76:Z78)</f>
        <v>7532.3107358530133</v>
      </c>
      <c r="AA79" s="17">
        <f>SUM(AA76:AA78)</f>
        <v>50470.85296031856</v>
      </c>
      <c r="AB79" s="12">
        <f t="shared" si="53"/>
        <v>0.1492408052183129</v>
      </c>
      <c r="AC79" s="12">
        <f t="shared" si="54"/>
        <v>-2.7786653496095368E-2</v>
      </c>
      <c r="AD79" s="12">
        <f t="shared" si="55"/>
        <v>3.4551727509572222E-2</v>
      </c>
    </row>
    <row r="80" spans="1:30" s="2" customFormat="1" ht="14.5" x14ac:dyDescent="0.35">
      <c r="A80" s="8" t="s">
        <v>90</v>
      </c>
      <c r="B80" s="8"/>
      <c r="C80" s="18">
        <f>C79+C75+C70+C68+C66+C61+C54+C52+C49+C47+C45+C41+C63</f>
        <v>221244.25297042314</v>
      </c>
      <c r="D80" s="18">
        <f>D79+D75+D70+D68+D66+D61+D54+D52+D49+D47+D45+D41+D63</f>
        <v>2327814.9272373691</v>
      </c>
      <c r="E80" s="9">
        <f t="shared" si="43"/>
        <v>9.5043746984213182E-2</v>
      </c>
      <c r="F80" s="18">
        <f t="shared" ref="F80:G80" si="56">F79+F75+F70+F68+F66+F61+F54+F52+F49+F47+F45+F41+F63</f>
        <v>70918.456768314994</v>
      </c>
      <c r="G80" s="18">
        <f t="shared" si="56"/>
        <v>919085.70767210273</v>
      </c>
      <c r="H80" s="9">
        <f t="shared" si="44"/>
        <v>7.7161962346188703E-2</v>
      </c>
      <c r="I80" s="18">
        <f t="shared" ref="I80:J80" si="57">I79+I75+I70+I68+I66+I61+I54+I52+I49+I47+I45+I41+I63</f>
        <v>-12628.094322465558</v>
      </c>
      <c r="J80" s="18">
        <f t="shared" si="57"/>
        <v>-61960.71082354668</v>
      </c>
      <c r="K80" s="14" t="str">
        <f t="shared" si="35"/>
        <v>N.A</v>
      </c>
      <c r="L80" s="14">
        <f t="shared" si="36"/>
        <v>-1.7881784638024478E-2</v>
      </c>
      <c r="M80" s="14" t="str">
        <f t="shared" si="37"/>
        <v>N.A</v>
      </c>
      <c r="N80" s="18">
        <f t="shared" ref="N80:O80" si="58">N79+N75+N70+N68+N66+N61+N54+N52+N49+N47+N45+N41+N63</f>
        <v>52976.125251518999</v>
      </c>
      <c r="O80" s="18">
        <f t="shared" si="58"/>
        <v>722703.5043293559</v>
      </c>
      <c r="P80" s="9">
        <f t="shared" si="51"/>
        <v>7.3302709803073435E-2</v>
      </c>
      <c r="Q80" s="18">
        <f t="shared" ref="Q80:R80" si="59">Q79+Q75+Q70+Q68+Q66+Q61+Q54+Q52+Q49+Q47+Q45+Q41+Q63</f>
        <v>-5274.4000518062867</v>
      </c>
      <c r="R80" s="18">
        <f t="shared" si="59"/>
        <v>-2524.8779278189249</v>
      </c>
      <c r="S80" s="14" t="str">
        <f t="shared" si="52"/>
        <v>N.A</v>
      </c>
      <c r="T80" s="19">
        <f t="shared" ref="T80:U80" si="60">T79+T75+T70+T68+T66+T61+T54+T52+T49+T47+T45+T41+T63</f>
        <v>194696.70511393377</v>
      </c>
      <c r="U80" s="19">
        <f t="shared" si="60"/>
        <v>2179811.8818655401</v>
      </c>
      <c r="V80" s="9">
        <f t="shared" si="49"/>
        <v>8.9318122693829535E-2</v>
      </c>
      <c r="W80" s="19">
        <f>W79+W75+W70+W68+W66+W61+W54+W52+W49+W47+W45+W41+W63</f>
        <v>1053270.0831939348</v>
      </c>
      <c r="X80" s="19">
        <f>X79+X75+X70+X68+X66+X61+X54+X52+X49+X47+X45+X41+X63</f>
        <v>13908010.365908066</v>
      </c>
      <c r="Y80" s="9">
        <f t="shared" si="50"/>
        <v>7.5731183360041004E-2</v>
      </c>
      <c r="Z80" s="19">
        <f>Z79+Z75+Z70+Z68+Z66+Z61+Z54+Z52+Z49+Z47+Z45+Z41+Z63</f>
        <v>13172.931271643896</v>
      </c>
      <c r="AA80" s="19">
        <f>AA79+AA75+AA70+AA68+AA66+AA61+AA54+AA52+AA49+AA47+AA45+AA41+AA63</f>
        <v>128339.09131295668</v>
      </c>
      <c r="AB80" s="14">
        <f t="shared" si="53"/>
        <v>0.10264161244153988</v>
      </c>
      <c r="AC80" s="14">
        <f t="shared" si="54"/>
        <v>-1.3586939333788531E-2</v>
      </c>
      <c r="AD80" s="14">
        <f t="shared" si="55"/>
        <v>1.3323489747710346E-2</v>
      </c>
    </row>
    <row r="81" spans="1:30" ht="14.5" x14ac:dyDescent="0.35">
      <c r="A81" s="10" t="s">
        <v>91</v>
      </c>
      <c r="B81" s="10"/>
      <c r="C81" s="38">
        <f>C80+C38</f>
        <v>605576.40327354602</v>
      </c>
      <c r="D81" s="38">
        <f>D80+D38</f>
        <v>7280013.4655340901</v>
      </c>
      <c r="E81" s="35">
        <f t="shared" si="43"/>
        <v>8.3183418017087229E-2</v>
      </c>
      <c r="F81" s="38">
        <f t="shared" ref="F81:G81" si="61">F80+F38</f>
        <v>81441.396180999989</v>
      </c>
      <c r="G81" s="38">
        <f t="shared" si="61"/>
        <v>1011979.9291832345</v>
      </c>
      <c r="H81" s="11">
        <f t="shared" si="44"/>
        <v>8.0477284017609979E-2</v>
      </c>
      <c r="I81" s="38">
        <f>I80+I38</f>
        <v>-8840.875220333086</v>
      </c>
      <c r="J81" s="38">
        <f>J80+J38</f>
        <v>-28243.967858638818</v>
      </c>
      <c r="K81" s="15" t="str">
        <f t="shared" si="35"/>
        <v>N.A</v>
      </c>
      <c r="L81" s="15">
        <f t="shared" si="36"/>
        <v>-2.7061339994772504E-3</v>
      </c>
      <c r="M81" s="15" t="str">
        <f t="shared" si="37"/>
        <v>N.A</v>
      </c>
      <c r="N81" s="38">
        <f t="shared" ref="N81:O81" si="62">N80+N38</f>
        <v>61651.450943771997</v>
      </c>
      <c r="O81" s="38">
        <f t="shared" si="62"/>
        <v>798213.94319759973</v>
      </c>
      <c r="P81" s="11">
        <f t="shared" si="51"/>
        <v>7.7236750208596688E-2</v>
      </c>
      <c r="Q81" s="38">
        <f>Q80+Q38</f>
        <v>-1983.1346343075015</v>
      </c>
      <c r="R81" s="38">
        <f>R80+R38</f>
        <v>27265.805592395864</v>
      </c>
      <c r="S81" s="15" t="str">
        <f t="shared" si="52"/>
        <v>N.A</v>
      </c>
      <c r="T81" s="20">
        <f>T80+T38</f>
        <v>532400.40592426911</v>
      </c>
      <c r="U81" s="20">
        <f>U80+U38</f>
        <v>7115739.4135739952</v>
      </c>
      <c r="V81" s="11">
        <f t="shared" si="49"/>
        <v>7.482011003784951E-2</v>
      </c>
      <c r="W81" s="20">
        <f>W80+W38</f>
        <v>1180360.6143226179</v>
      </c>
      <c r="X81" s="20">
        <f>X80+X38</f>
        <v>15262103.355375636</v>
      </c>
      <c r="Y81" s="11">
        <f t="shared" si="50"/>
        <v>7.7339314695891503E-2</v>
      </c>
      <c r="Z81" s="20">
        <f>Z80+Z38</f>
        <v>48057.5627892911</v>
      </c>
      <c r="AA81" s="20">
        <f>AA80+AA38</f>
        <v>681177.44355027506</v>
      </c>
      <c r="AB81" s="15">
        <f t="shared" si="53"/>
        <v>7.0550725430390968E-2</v>
      </c>
      <c r="AC81" s="15">
        <f t="shared" si="54"/>
        <v>2.519204658041993E-3</v>
      </c>
      <c r="AD81" s="15">
        <f t="shared" si="55"/>
        <v>-4.2693846074585429E-3</v>
      </c>
    </row>
    <row r="85" spans="1:30" x14ac:dyDescent="0.3">
      <c r="W85" s="34"/>
    </row>
  </sheetData>
  <dataConsolidate/>
  <mergeCells count="13">
    <mergeCell ref="AC4:AD4"/>
    <mergeCell ref="T3:AD3"/>
    <mergeCell ref="W4:Y4"/>
    <mergeCell ref="Z4:AB4"/>
    <mergeCell ref="C3:M3"/>
    <mergeCell ref="T4:V4"/>
    <mergeCell ref="Q4:S4"/>
    <mergeCell ref="N3:S3"/>
    <mergeCell ref="C4:E4"/>
    <mergeCell ref="F4:H4"/>
    <mergeCell ref="I4:K4"/>
    <mergeCell ref="N4:P4"/>
    <mergeCell ref="L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C9E0B-D8A4-42B2-A35B-FDD82891BD81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9825-6D15-466B-9FFE-C8FE4C9E7E05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BE8F-207C-49FC-B3E0-316AD307A915}">
  <dimension ref="A1:Q51"/>
  <sheetViews>
    <sheetView topLeftCell="A41" workbookViewId="0">
      <selection sqref="A1:XFD1048576"/>
    </sheetView>
  </sheetViews>
  <sheetFormatPr defaultColWidth="9.1796875" defaultRowHeight="13" x14ac:dyDescent="0.3"/>
  <cols>
    <col min="1" max="1" width="13" style="41" bestFit="1" customWidth="1"/>
    <col min="2" max="2" width="14.26953125" style="41" bestFit="1" customWidth="1"/>
    <col min="3" max="3" width="13.7265625" style="41" bestFit="1" customWidth="1"/>
    <col min="4" max="4" width="15" style="41" bestFit="1" customWidth="1"/>
    <col min="5" max="5" width="14.453125" style="41" bestFit="1" customWidth="1"/>
    <col min="6" max="6" width="20.26953125" style="41" bestFit="1" customWidth="1"/>
    <col min="7" max="7" width="19.7265625" style="41" bestFit="1" customWidth="1"/>
    <col min="8" max="8" width="18.1796875" style="41" bestFit="1" customWidth="1"/>
    <col min="9" max="9" width="24.453125" style="41" bestFit="1" customWidth="1"/>
    <col min="10" max="10" width="26.453125" style="41" bestFit="1" customWidth="1"/>
    <col min="11" max="11" width="25.7265625" style="41" bestFit="1" customWidth="1"/>
    <col min="12" max="16384" width="9.1796875" style="41"/>
  </cols>
  <sheetData>
    <row r="1" spans="1:17" x14ac:dyDescent="0.3">
      <c r="A1" s="39" t="s">
        <v>4</v>
      </c>
      <c r="B1" s="40" t="s">
        <v>288</v>
      </c>
      <c r="C1" s="40" t="s">
        <v>289</v>
      </c>
      <c r="D1" s="40" t="s">
        <v>290</v>
      </c>
      <c r="E1" s="40" t="s">
        <v>291</v>
      </c>
      <c r="F1" s="40" t="s">
        <v>292</v>
      </c>
      <c r="G1" s="40" t="s">
        <v>293</v>
      </c>
      <c r="H1" s="40" t="s">
        <v>294</v>
      </c>
      <c r="I1" s="40" t="s">
        <v>295</v>
      </c>
      <c r="J1" s="40" t="s">
        <v>296</v>
      </c>
      <c r="K1" s="40" t="s">
        <v>297</v>
      </c>
      <c r="L1" s="41" t="s">
        <v>298</v>
      </c>
      <c r="M1" s="41" t="s">
        <v>299</v>
      </c>
      <c r="N1" s="41" t="s">
        <v>300</v>
      </c>
      <c r="O1" s="41" t="s">
        <v>301</v>
      </c>
      <c r="P1" s="41" t="s">
        <v>302</v>
      </c>
      <c r="Q1" s="41" t="s">
        <v>303</v>
      </c>
    </row>
    <row r="2" spans="1:17" ht="26" x14ac:dyDescent="0.3">
      <c r="A2" s="42" t="s">
        <v>29</v>
      </c>
      <c r="B2" s="43">
        <v>20453.6303695243</v>
      </c>
      <c r="C2" s="43">
        <v>430130.61417037196</v>
      </c>
      <c r="D2" s="43">
        <v>134.003853201</v>
      </c>
      <c r="E2" s="43">
        <v>4716.7718965189997</v>
      </c>
      <c r="F2" s="43">
        <v>144.99791059802001</v>
      </c>
      <c r="G2" s="43">
        <v>4270.1584872091898</v>
      </c>
      <c r="H2" s="43">
        <v>64.439697423000098</v>
      </c>
      <c r="I2" s="43">
        <v>985.27955824499907</v>
      </c>
      <c r="J2" s="43">
        <v>38.556703206617101</v>
      </c>
      <c r="K2" s="43">
        <v>910.86050606743504</v>
      </c>
      <c r="L2" s="44">
        <f>D2+H2</f>
        <v>198.4435506240001</v>
      </c>
      <c r="M2" s="44">
        <f>E2+I2</f>
        <v>5702.0514547639987</v>
      </c>
      <c r="N2" s="44">
        <f>F2+J2</f>
        <v>183.55461380463711</v>
      </c>
      <c r="O2" s="44">
        <f>G2+K2</f>
        <v>5181.0189932766252</v>
      </c>
      <c r="P2" s="44">
        <f>L2-N2</f>
        <v>14.888936819362982</v>
      </c>
      <c r="Q2" s="44">
        <f>M2-O2</f>
        <v>521.03246148737344</v>
      </c>
    </row>
    <row r="3" spans="1:17" x14ac:dyDescent="0.3">
      <c r="A3" s="42" t="s">
        <v>95</v>
      </c>
      <c r="B3" s="43">
        <v>53478.244818755898</v>
      </c>
      <c r="C3" s="43">
        <v>411623.13077250303</v>
      </c>
      <c r="D3" s="43">
        <v>201.86164720100001</v>
      </c>
      <c r="E3" s="43">
        <v>5098.6035429719996</v>
      </c>
      <c r="F3" s="43">
        <v>210.94715450450599</v>
      </c>
      <c r="G3" s="43">
        <v>1627.65073320175</v>
      </c>
      <c r="H3" s="43">
        <v>23.019447782</v>
      </c>
      <c r="I3" s="43">
        <v>880.13660106287296</v>
      </c>
      <c r="J3" s="43">
        <v>14.4991384068712</v>
      </c>
      <c r="K3" s="43">
        <v>133.97303966532701</v>
      </c>
      <c r="L3" s="44">
        <f t="shared" ref="L3:O51" si="0">D3+H3</f>
        <v>224.88109498300003</v>
      </c>
      <c r="M3" s="44">
        <f t="shared" si="0"/>
        <v>5978.7401440348722</v>
      </c>
      <c r="N3" s="44">
        <f t="shared" si="0"/>
        <v>225.44629291137718</v>
      </c>
      <c r="O3" s="44">
        <f t="shared" si="0"/>
        <v>1761.6237728670769</v>
      </c>
      <c r="P3" s="44">
        <f t="shared" ref="P3:Q51" si="1">L3-N3</f>
        <v>-0.56519792837715954</v>
      </c>
      <c r="Q3" s="44">
        <f t="shared" si="1"/>
        <v>4217.1163711677955</v>
      </c>
    </row>
    <row r="4" spans="1:17" x14ac:dyDescent="0.3">
      <c r="A4" s="42" t="s">
        <v>27</v>
      </c>
      <c r="B4" s="43">
        <v>55159.849258414499</v>
      </c>
      <c r="C4" s="43">
        <v>351945.90890862705</v>
      </c>
      <c r="D4" s="43">
        <v>583.61849972899904</v>
      </c>
      <c r="E4" s="43">
        <v>3551.0927153730004</v>
      </c>
      <c r="F4" s="43">
        <v>247.36600905997099</v>
      </c>
      <c r="G4" s="43">
        <v>1554.0076494813998</v>
      </c>
      <c r="H4" s="43">
        <v>75.1694236619999</v>
      </c>
      <c r="I4" s="43">
        <v>402.503594271081</v>
      </c>
      <c r="J4" s="43">
        <v>16.2248697313692</v>
      </c>
      <c r="K4" s="43">
        <v>144.756435043273</v>
      </c>
      <c r="L4" s="44">
        <f t="shared" si="0"/>
        <v>658.78792339099891</v>
      </c>
      <c r="M4" s="44">
        <f t="shared" si="0"/>
        <v>3953.5963096440814</v>
      </c>
      <c r="N4" s="44">
        <f t="shared" si="0"/>
        <v>263.59087879134017</v>
      </c>
      <c r="O4" s="44">
        <f t="shared" si="0"/>
        <v>1698.7640845246729</v>
      </c>
      <c r="P4" s="44">
        <f t="shared" si="1"/>
        <v>395.19704459965874</v>
      </c>
      <c r="Q4" s="44">
        <f t="shared" si="1"/>
        <v>2254.8322251194086</v>
      </c>
    </row>
    <row r="5" spans="1:17" x14ac:dyDescent="0.3">
      <c r="A5" s="42" t="s">
        <v>26</v>
      </c>
      <c r="B5" s="43">
        <v>10310.271787137701</v>
      </c>
      <c r="C5" s="43">
        <v>306788.86931798497</v>
      </c>
      <c r="D5" s="43">
        <v>77.4334939109999</v>
      </c>
      <c r="E5" s="43">
        <v>2421.3871743119998</v>
      </c>
      <c r="F5" s="43">
        <v>63.349682283146102</v>
      </c>
      <c r="G5" s="43">
        <v>1442.2133180101698</v>
      </c>
      <c r="H5" s="43">
        <v>18.207921166000002</v>
      </c>
      <c r="I5" s="43">
        <v>433.482721914043</v>
      </c>
      <c r="J5" s="43">
        <v>3.7875523755299398</v>
      </c>
      <c r="K5" s="43">
        <v>144.81959050590001</v>
      </c>
      <c r="L5" s="44">
        <f t="shared" si="0"/>
        <v>95.641415076999905</v>
      </c>
      <c r="M5" s="44">
        <f t="shared" si="0"/>
        <v>2854.8698962260428</v>
      </c>
      <c r="N5" s="44">
        <f t="shared" si="0"/>
        <v>67.137234658676036</v>
      </c>
      <c r="O5" s="44">
        <f t="shared" si="0"/>
        <v>1587.0329085160697</v>
      </c>
      <c r="P5" s="44">
        <f t="shared" si="1"/>
        <v>28.50418041832387</v>
      </c>
      <c r="Q5" s="44">
        <f t="shared" si="1"/>
        <v>1267.8369877099731</v>
      </c>
    </row>
    <row r="6" spans="1:17" x14ac:dyDescent="0.3">
      <c r="A6" s="42" t="s">
        <v>30</v>
      </c>
      <c r="B6" s="43">
        <v>17468.7569408497</v>
      </c>
      <c r="C6" s="43">
        <v>276228.93043407204</v>
      </c>
      <c r="D6" s="43">
        <v>176.67190201099999</v>
      </c>
      <c r="E6" s="43">
        <v>3532.991297862</v>
      </c>
      <c r="F6" s="43">
        <v>104.46184898872599</v>
      </c>
      <c r="G6" s="43">
        <v>1353.4991285651702</v>
      </c>
      <c r="H6" s="43">
        <v>14.716614426000001</v>
      </c>
      <c r="I6" s="43">
        <v>303.15219420258302</v>
      </c>
      <c r="J6" s="43">
        <v>10.996618011540599</v>
      </c>
      <c r="K6" s="43">
        <v>134.45156884088701</v>
      </c>
      <c r="L6" s="44">
        <f t="shared" si="0"/>
        <v>191.38851643699999</v>
      </c>
      <c r="M6" s="44">
        <f t="shared" si="0"/>
        <v>3836.1434920645829</v>
      </c>
      <c r="N6" s="44">
        <f t="shared" si="0"/>
        <v>115.45846700026659</v>
      </c>
      <c r="O6" s="44">
        <f t="shared" si="0"/>
        <v>1487.9506974060571</v>
      </c>
      <c r="P6" s="44">
        <f t="shared" si="1"/>
        <v>75.930049436733398</v>
      </c>
      <c r="Q6" s="44">
        <f t="shared" si="1"/>
        <v>2348.1927946585256</v>
      </c>
    </row>
    <row r="7" spans="1:17" ht="26" x14ac:dyDescent="0.3">
      <c r="A7" s="42" t="s">
        <v>25</v>
      </c>
      <c r="B7" s="43">
        <v>27459.199811572602</v>
      </c>
      <c r="C7" s="43">
        <v>199280.801490385</v>
      </c>
      <c r="D7" s="43">
        <v>191.05114355199998</v>
      </c>
      <c r="E7" s="43">
        <v>2467.6216439919999</v>
      </c>
      <c r="F7" s="43">
        <v>106.405297251714</v>
      </c>
      <c r="G7" s="43">
        <v>886.14097915379398</v>
      </c>
      <c r="H7" s="43">
        <v>64.011399436000005</v>
      </c>
      <c r="I7" s="43">
        <v>620.18550832988706</v>
      </c>
      <c r="J7" s="43">
        <v>11.307676237657599</v>
      </c>
      <c r="K7" s="43">
        <v>112.154691610966</v>
      </c>
      <c r="L7" s="44">
        <f t="shared" si="0"/>
        <v>255.06254298799999</v>
      </c>
      <c r="M7" s="44">
        <f t="shared" si="0"/>
        <v>3087.8071523218869</v>
      </c>
      <c r="N7" s="44">
        <f t="shared" si="0"/>
        <v>117.71297348937161</v>
      </c>
      <c r="O7" s="44">
        <f t="shared" si="0"/>
        <v>998.29567076475996</v>
      </c>
      <c r="P7" s="44">
        <f t="shared" si="1"/>
        <v>137.3495694986284</v>
      </c>
      <c r="Q7" s="44">
        <f t="shared" si="1"/>
        <v>2089.5114815571269</v>
      </c>
    </row>
    <row r="8" spans="1:17" x14ac:dyDescent="0.3">
      <c r="A8" s="42" t="s">
        <v>19</v>
      </c>
      <c r="B8" s="43">
        <v>6317.9480321782103</v>
      </c>
      <c r="C8" s="43">
        <v>188009.11922719798</v>
      </c>
      <c r="D8" s="43">
        <v>32.739928218000003</v>
      </c>
      <c r="E8" s="43">
        <v>821.76042484099901</v>
      </c>
      <c r="F8" s="43">
        <v>25.122747846948499</v>
      </c>
      <c r="G8" s="43">
        <v>900.49582512849895</v>
      </c>
      <c r="H8" s="43">
        <v>0.61371156699999996</v>
      </c>
      <c r="I8" s="43">
        <v>33.973055158806801</v>
      </c>
      <c r="J8" s="43">
        <v>2.4780712585992699</v>
      </c>
      <c r="K8" s="43">
        <v>111.604932426885</v>
      </c>
      <c r="L8" s="44">
        <f t="shared" si="0"/>
        <v>33.353639785000006</v>
      </c>
      <c r="M8" s="44">
        <f t="shared" si="0"/>
        <v>855.73347999980581</v>
      </c>
      <c r="N8" s="44">
        <f t="shared" si="0"/>
        <v>27.600819105547771</v>
      </c>
      <c r="O8" s="44">
        <f t="shared" si="0"/>
        <v>1012.100757555384</v>
      </c>
      <c r="P8" s="44">
        <f t="shared" si="1"/>
        <v>5.7528206794522347</v>
      </c>
      <c r="Q8" s="44">
        <f t="shared" si="1"/>
        <v>-156.3672775555782</v>
      </c>
    </row>
    <row r="9" spans="1:17" x14ac:dyDescent="0.3">
      <c r="A9" s="42" t="s">
        <v>28</v>
      </c>
      <c r="B9" s="43">
        <v>18322.214299869</v>
      </c>
      <c r="C9" s="43">
        <v>166298.730166202</v>
      </c>
      <c r="D9" s="43">
        <v>271.97006255399998</v>
      </c>
      <c r="E9" s="43">
        <v>2027.24895562199</v>
      </c>
      <c r="F9" s="43">
        <v>78.160034265848495</v>
      </c>
      <c r="G9" s="43">
        <v>763.86332062100394</v>
      </c>
      <c r="H9" s="43">
        <v>95.292968151000011</v>
      </c>
      <c r="I9" s="43">
        <v>526.383830512999</v>
      </c>
      <c r="J9" s="43">
        <v>11.110123874298599</v>
      </c>
      <c r="K9" s="43">
        <v>100.60956857903</v>
      </c>
      <c r="L9" s="44">
        <f t="shared" si="0"/>
        <v>367.26303070500001</v>
      </c>
      <c r="M9" s="44">
        <f t="shared" si="0"/>
        <v>2553.6327861349891</v>
      </c>
      <c r="N9" s="44">
        <f t="shared" si="0"/>
        <v>89.270158140147089</v>
      </c>
      <c r="O9" s="44">
        <f t="shared" si="0"/>
        <v>864.47288920003393</v>
      </c>
      <c r="P9" s="44">
        <f t="shared" si="1"/>
        <v>277.99287256485292</v>
      </c>
      <c r="Q9" s="44">
        <f t="shared" si="1"/>
        <v>1689.1598969349552</v>
      </c>
    </row>
    <row r="10" spans="1:17" ht="39" x14ac:dyDescent="0.3">
      <c r="A10" s="42" t="s">
        <v>31</v>
      </c>
      <c r="B10" s="43">
        <v>4373.9137583997299</v>
      </c>
      <c r="C10" s="43">
        <v>163604.20360994601</v>
      </c>
      <c r="D10" s="43">
        <v>47.922747596999997</v>
      </c>
      <c r="E10" s="43">
        <v>1524.8989497130001</v>
      </c>
      <c r="F10" s="43">
        <v>19.9459059009071</v>
      </c>
      <c r="G10" s="43">
        <v>829.07787202809607</v>
      </c>
      <c r="H10" s="43">
        <v>12.827227539000001</v>
      </c>
      <c r="I10" s="43">
        <v>256.12810143540702</v>
      </c>
      <c r="J10" s="43">
        <v>2.2352781492309099</v>
      </c>
      <c r="K10" s="43">
        <v>96.1045753316358</v>
      </c>
      <c r="L10" s="44">
        <f t="shared" si="0"/>
        <v>60.749975135999996</v>
      </c>
      <c r="M10" s="44">
        <f t="shared" si="0"/>
        <v>1781.0270511484071</v>
      </c>
      <c r="N10" s="44">
        <f t="shared" si="0"/>
        <v>22.181184050138011</v>
      </c>
      <c r="O10" s="44">
        <f t="shared" si="0"/>
        <v>925.1824473597319</v>
      </c>
      <c r="P10" s="44">
        <f t="shared" si="1"/>
        <v>38.568791085861989</v>
      </c>
      <c r="Q10" s="44">
        <f t="shared" si="1"/>
        <v>855.84460378867516</v>
      </c>
    </row>
    <row r="11" spans="1:17" x14ac:dyDescent="0.3">
      <c r="A11" s="42" t="s">
        <v>24</v>
      </c>
      <c r="B11" s="43">
        <v>3607.4402719356299</v>
      </c>
      <c r="C11" s="43">
        <v>135557.33234756</v>
      </c>
      <c r="D11" s="43">
        <v>14.276947432</v>
      </c>
      <c r="E11" s="43">
        <v>1123.8507858109999</v>
      </c>
      <c r="F11" s="43">
        <v>13.144805369262698</v>
      </c>
      <c r="G11" s="43">
        <v>706.72359503035</v>
      </c>
      <c r="H11" s="43">
        <v>3.293984939</v>
      </c>
      <c r="I11" s="43">
        <v>259.91979786316102</v>
      </c>
      <c r="J11" s="43">
        <v>3.7694458927061203</v>
      </c>
      <c r="K11" s="43">
        <v>60.170667900053807</v>
      </c>
      <c r="L11" s="44">
        <f t="shared" si="0"/>
        <v>17.570932371000001</v>
      </c>
      <c r="M11" s="44">
        <f t="shared" si="0"/>
        <v>1383.7705836741609</v>
      </c>
      <c r="N11" s="44">
        <f t="shared" si="0"/>
        <v>16.914251261968818</v>
      </c>
      <c r="O11" s="44">
        <f t="shared" si="0"/>
        <v>766.89426293040378</v>
      </c>
      <c r="P11" s="44">
        <f t="shared" si="1"/>
        <v>0.65668110903118304</v>
      </c>
      <c r="Q11" s="44">
        <f t="shared" si="1"/>
        <v>616.87632074375711</v>
      </c>
    </row>
    <row r="12" spans="1:17" ht="26" x14ac:dyDescent="0.3">
      <c r="A12" s="42" t="s">
        <v>22</v>
      </c>
      <c r="B12" s="43">
        <v>0</v>
      </c>
      <c r="C12" s="43">
        <v>26609.448033354998</v>
      </c>
      <c r="D12" s="43">
        <v>0</v>
      </c>
      <c r="E12" s="43">
        <v>200.61928992699998</v>
      </c>
      <c r="F12" s="43">
        <v>0</v>
      </c>
      <c r="G12" s="43">
        <v>172.792996028956</v>
      </c>
      <c r="H12" s="43">
        <v>0</v>
      </c>
      <c r="I12" s="43">
        <v>50.571954433999998</v>
      </c>
      <c r="J12" s="43">
        <v>0</v>
      </c>
      <c r="K12" s="43">
        <v>29.514839056704201</v>
      </c>
      <c r="L12" s="44">
        <f t="shared" si="0"/>
        <v>0</v>
      </c>
      <c r="M12" s="44">
        <f t="shared" si="0"/>
        <v>251.19124436099997</v>
      </c>
      <c r="N12" s="44">
        <f t="shared" si="0"/>
        <v>0</v>
      </c>
      <c r="O12" s="44">
        <f t="shared" si="0"/>
        <v>202.3078350856602</v>
      </c>
      <c r="P12" s="44">
        <f t="shared" si="1"/>
        <v>0</v>
      </c>
      <c r="Q12" s="44">
        <f t="shared" si="1"/>
        <v>48.883409275339773</v>
      </c>
    </row>
    <row r="13" spans="1:17" x14ac:dyDescent="0.3">
      <c r="A13" s="42" t="s">
        <v>93</v>
      </c>
      <c r="B13" s="43">
        <v>0</v>
      </c>
      <c r="C13" s="43">
        <v>1357.4751198373601</v>
      </c>
      <c r="D13" s="43">
        <v>0</v>
      </c>
      <c r="E13" s="43">
        <v>1.6764701719999999</v>
      </c>
      <c r="F13" s="43">
        <v>0</v>
      </c>
      <c r="G13" s="43">
        <v>4.5649461531009798</v>
      </c>
      <c r="H13" s="43">
        <v>0</v>
      </c>
      <c r="I13" s="43">
        <v>0.14359282400000001</v>
      </c>
      <c r="J13" s="43">
        <v>0</v>
      </c>
      <c r="K13" s="43">
        <v>0.58968270199999995</v>
      </c>
      <c r="L13" s="44">
        <f t="shared" si="0"/>
        <v>0</v>
      </c>
      <c r="M13" s="44">
        <f t="shared" si="0"/>
        <v>1.8200629959999999</v>
      </c>
      <c r="N13" s="44">
        <f t="shared" si="0"/>
        <v>0</v>
      </c>
      <c r="O13" s="44">
        <f t="shared" si="0"/>
        <v>5.15462885510098</v>
      </c>
      <c r="P13" s="44">
        <f t="shared" si="1"/>
        <v>0</v>
      </c>
      <c r="Q13" s="44">
        <f t="shared" si="1"/>
        <v>-3.3345658591009801</v>
      </c>
    </row>
    <row r="14" spans="1:17" ht="26" x14ac:dyDescent="0.3">
      <c r="A14" s="42" t="s">
        <v>23</v>
      </c>
      <c r="B14" s="43">
        <v>0</v>
      </c>
      <c r="C14" s="43">
        <v>127.68750729576101</v>
      </c>
      <c r="D14" s="43">
        <v>0</v>
      </c>
      <c r="E14" s="43">
        <v>0.73515863400000103</v>
      </c>
      <c r="F14" s="43">
        <v>0</v>
      </c>
      <c r="G14" s="43">
        <v>3.0512832939999996</v>
      </c>
      <c r="H14" s="43">
        <v>0</v>
      </c>
      <c r="I14" s="43">
        <v>0.51901269300000008</v>
      </c>
      <c r="J14" s="43">
        <v>0</v>
      </c>
      <c r="K14" s="43">
        <v>0.220419796</v>
      </c>
      <c r="L14" s="44">
        <f t="shared" si="0"/>
        <v>0</v>
      </c>
      <c r="M14" s="44">
        <f t="shared" si="0"/>
        <v>1.2541713270000012</v>
      </c>
      <c r="N14" s="44">
        <f t="shared" si="0"/>
        <v>0</v>
      </c>
      <c r="O14" s="44">
        <f t="shared" si="0"/>
        <v>3.2717030899999995</v>
      </c>
      <c r="P14" s="44">
        <f t="shared" si="1"/>
        <v>0</v>
      </c>
      <c r="Q14" s="44">
        <f t="shared" si="1"/>
        <v>-2.0175317629999983</v>
      </c>
    </row>
    <row r="15" spans="1:17" ht="52" x14ac:dyDescent="0.3">
      <c r="A15" s="42" t="s">
        <v>14</v>
      </c>
      <c r="B15" s="43">
        <v>17453.979898970298</v>
      </c>
      <c r="C15" s="43">
        <v>282882.40893973602</v>
      </c>
      <c r="D15" s="43">
        <v>99.599891697999993</v>
      </c>
      <c r="E15" s="43">
        <v>2658.1083035359998</v>
      </c>
      <c r="F15" s="43">
        <v>111.05296236688301</v>
      </c>
      <c r="G15" s="43">
        <v>1557.53887980184</v>
      </c>
      <c r="H15" s="43">
        <v>29.600216</v>
      </c>
      <c r="I15" s="43">
        <v>556.019147890353</v>
      </c>
      <c r="J15" s="43">
        <v>13.345328814756899</v>
      </c>
      <c r="K15" s="43">
        <v>261.70406873385002</v>
      </c>
      <c r="L15" s="44">
        <f t="shared" si="0"/>
        <v>129.20010769799998</v>
      </c>
      <c r="M15" s="44">
        <f t="shared" si="0"/>
        <v>3214.1274514263528</v>
      </c>
      <c r="N15" s="44">
        <f t="shared" si="0"/>
        <v>124.39829118163991</v>
      </c>
      <c r="O15" s="44">
        <f t="shared" si="0"/>
        <v>1819.2429485356902</v>
      </c>
      <c r="P15" s="44">
        <f t="shared" si="1"/>
        <v>4.801816516360077</v>
      </c>
      <c r="Q15" s="44">
        <f t="shared" si="1"/>
        <v>1394.8845028906626</v>
      </c>
    </row>
    <row r="16" spans="1:17" x14ac:dyDescent="0.3">
      <c r="A16" s="42" t="s">
        <v>99</v>
      </c>
      <c r="B16" s="43">
        <v>69380.227782782502</v>
      </c>
      <c r="C16" s="43">
        <v>251406.27641366998</v>
      </c>
      <c r="D16" s="43">
        <v>4497.7667775650098</v>
      </c>
      <c r="E16" s="43">
        <v>18156.720580197001</v>
      </c>
      <c r="F16" s="43">
        <v>2721.1098862669196</v>
      </c>
      <c r="G16" s="43">
        <v>9154.4853081594811</v>
      </c>
      <c r="H16" s="43">
        <v>65.918207268000003</v>
      </c>
      <c r="I16" s="43">
        <v>655.66351029483394</v>
      </c>
      <c r="J16" s="43">
        <v>154.22547309064402</v>
      </c>
      <c r="K16" s="43">
        <v>1120.3930713214399</v>
      </c>
      <c r="L16" s="44">
        <f t="shared" si="0"/>
        <v>4563.6849848330094</v>
      </c>
      <c r="M16" s="44">
        <f t="shared" si="0"/>
        <v>18812.384090491836</v>
      </c>
      <c r="N16" s="44">
        <f t="shared" si="0"/>
        <v>2875.3353593575634</v>
      </c>
      <c r="O16" s="44">
        <f t="shared" si="0"/>
        <v>10274.878379480921</v>
      </c>
      <c r="P16" s="44">
        <f t="shared" si="1"/>
        <v>1688.3496254754459</v>
      </c>
      <c r="Q16" s="44">
        <f t="shared" si="1"/>
        <v>8537.5057110109155</v>
      </c>
    </row>
    <row r="17" spans="1:17" ht="52" x14ac:dyDescent="0.3">
      <c r="A17" s="42" t="s">
        <v>17</v>
      </c>
      <c r="B17" s="43">
        <v>7618.3267102264499</v>
      </c>
      <c r="C17" s="43">
        <v>196904.00545051298</v>
      </c>
      <c r="D17" s="43">
        <v>103.302496273</v>
      </c>
      <c r="E17" s="43">
        <v>1601.545535361</v>
      </c>
      <c r="F17" s="43">
        <v>30.594627469153501</v>
      </c>
      <c r="G17" s="43">
        <v>1003.1720147659501</v>
      </c>
      <c r="H17" s="43">
        <v>29.963395178999999</v>
      </c>
      <c r="I17" s="43">
        <v>266.89627547570501</v>
      </c>
      <c r="J17" s="43">
        <v>2.4760728736931501</v>
      </c>
      <c r="K17" s="43">
        <v>93.484748717177496</v>
      </c>
      <c r="L17" s="44">
        <f t="shared" si="0"/>
        <v>133.26589145200001</v>
      </c>
      <c r="M17" s="44">
        <f t="shared" si="0"/>
        <v>1868.4418108367049</v>
      </c>
      <c r="N17" s="44">
        <f t="shared" si="0"/>
        <v>33.070700342846649</v>
      </c>
      <c r="O17" s="44">
        <f t="shared" si="0"/>
        <v>1096.6567634831276</v>
      </c>
      <c r="P17" s="44">
        <f t="shared" si="1"/>
        <v>100.19519110915336</v>
      </c>
      <c r="Q17" s="44">
        <f t="shared" si="1"/>
        <v>771.78504735357728</v>
      </c>
    </row>
    <row r="18" spans="1:17" ht="26" x14ac:dyDescent="0.3">
      <c r="A18" s="42" t="s">
        <v>63</v>
      </c>
      <c r="B18" s="43">
        <v>8129.3581112420497</v>
      </c>
      <c r="C18" s="43">
        <v>111674.749752955</v>
      </c>
      <c r="D18" s="43">
        <v>48.235626486000001</v>
      </c>
      <c r="E18" s="43">
        <v>2039.635254669</v>
      </c>
      <c r="F18" s="43">
        <v>54.946523184895995</v>
      </c>
      <c r="G18" s="43">
        <v>599.74581566626603</v>
      </c>
      <c r="H18" s="43">
        <v>31.874231797000004</v>
      </c>
      <c r="I18" s="43">
        <v>537.77915256846597</v>
      </c>
      <c r="J18" s="43">
        <v>6.4360188063215693</v>
      </c>
      <c r="K18" s="43">
        <v>84.827588835112607</v>
      </c>
      <c r="L18" s="44">
        <f t="shared" si="0"/>
        <v>80.109858283000008</v>
      </c>
      <c r="M18" s="44">
        <f t="shared" si="0"/>
        <v>2577.4144072374661</v>
      </c>
      <c r="N18" s="44">
        <f t="shared" si="0"/>
        <v>61.382541991217565</v>
      </c>
      <c r="O18" s="44">
        <f t="shared" si="0"/>
        <v>684.5734045013786</v>
      </c>
      <c r="P18" s="44">
        <f t="shared" si="1"/>
        <v>18.727316291782444</v>
      </c>
      <c r="Q18" s="44">
        <f t="shared" si="1"/>
        <v>1892.8410027360874</v>
      </c>
    </row>
    <row r="19" spans="1:17" ht="26" x14ac:dyDescent="0.3">
      <c r="A19" s="42" t="s">
        <v>11</v>
      </c>
      <c r="B19" s="43">
        <v>8327.3709876485591</v>
      </c>
      <c r="C19" s="43">
        <v>42655.668102414202</v>
      </c>
      <c r="D19" s="43">
        <v>91.733289851999913</v>
      </c>
      <c r="E19" s="43">
        <v>1348.761334194</v>
      </c>
      <c r="F19" s="43">
        <v>73.187725299484299</v>
      </c>
      <c r="G19" s="43">
        <v>499.95371605854996</v>
      </c>
      <c r="H19" s="43">
        <v>18.023898013</v>
      </c>
      <c r="I19" s="43">
        <v>140.74068915267301</v>
      </c>
      <c r="J19" s="43">
        <v>13.6877523855688</v>
      </c>
      <c r="K19" s="43">
        <v>190.455640117152</v>
      </c>
      <c r="L19" s="44">
        <f t="shared" si="0"/>
        <v>109.75718786499991</v>
      </c>
      <c r="M19" s="44">
        <f t="shared" si="0"/>
        <v>1489.502023346673</v>
      </c>
      <c r="N19" s="44">
        <f t="shared" si="0"/>
        <v>86.875477685053099</v>
      </c>
      <c r="O19" s="44">
        <f t="shared" si="0"/>
        <v>690.40935617570199</v>
      </c>
      <c r="P19" s="44">
        <f t="shared" si="1"/>
        <v>22.881710179946808</v>
      </c>
      <c r="Q19" s="44">
        <f t="shared" si="1"/>
        <v>799.09266717097103</v>
      </c>
    </row>
    <row r="20" spans="1:17" ht="26" x14ac:dyDescent="0.3">
      <c r="A20" s="42" t="s">
        <v>62</v>
      </c>
      <c r="B20" s="43">
        <v>3118.9627124325798</v>
      </c>
      <c r="C20" s="43">
        <v>25367.7653564619</v>
      </c>
      <c r="D20" s="43">
        <v>33.605112651999995</v>
      </c>
      <c r="E20" s="43">
        <v>291.63562266299999</v>
      </c>
      <c r="F20" s="43">
        <v>16.872478717</v>
      </c>
      <c r="G20" s="43">
        <v>169.19012514276699</v>
      </c>
      <c r="H20" s="43">
        <v>1.8153549929999999</v>
      </c>
      <c r="I20" s="43">
        <v>24.962199034281699</v>
      </c>
      <c r="J20" s="43">
        <v>6.3529505470000007</v>
      </c>
      <c r="K20" s="43">
        <v>49.447398289326003</v>
      </c>
      <c r="L20" s="44">
        <f t="shared" si="0"/>
        <v>35.420467644999995</v>
      </c>
      <c r="M20" s="44">
        <f t="shared" si="0"/>
        <v>316.59782169728169</v>
      </c>
      <c r="N20" s="44">
        <f t="shared" si="0"/>
        <v>23.225429263999999</v>
      </c>
      <c r="O20" s="44">
        <f t="shared" si="0"/>
        <v>218.63752343209299</v>
      </c>
      <c r="P20" s="44">
        <f t="shared" si="1"/>
        <v>12.195038380999996</v>
      </c>
      <c r="Q20" s="44">
        <f t="shared" si="1"/>
        <v>97.960298265188698</v>
      </c>
    </row>
    <row r="21" spans="1:17" x14ac:dyDescent="0.3">
      <c r="A21" s="42" t="s">
        <v>46</v>
      </c>
      <c r="B21" s="43">
        <v>39119.451397440098</v>
      </c>
      <c r="C21" s="43">
        <v>500186.04738751595</v>
      </c>
      <c r="D21" s="43">
        <v>23880.725289234004</v>
      </c>
      <c r="E21" s="43">
        <v>290244.663191539</v>
      </c>
      <c r="F21" s="43">
        <v>20910.137583710999</v>
      </c>
      <c r="G21" s="43">
        <v>228690.89272221498</v>
      </c>
      <c r="H21" s="43">
        <v>68.950427515000001</v>
      </c>
      <c r="I21" s="43">
        <v>1386.4226599804599</v>
      </c>
      <c r="J21" s="43">
        <v>199.27872324500001</v>
      </c>
      <c r="K21" s="43">
        <v>3479.6277053099998</v>
      </c>
      <c r="L21" s="44">
        <f t="shared" si="0"/>
        <v>23949.675716749003</v>
      </c>
      <c r="M21" s="44">
        <f t="shared" si="0"/>
        <v>291631.08585151949</v>
      </c>
      <c r="N21" s="44">
        <f t="shared" si="0"/>
        <v>21109.416306955998</v>
      </c>
      <c r="O21" s="44">
        <f t="shared" si="0"/>
        <v>232170.52042752499</v>
      </c>
      <c r="P21" s="44">
        <f t="shared" si="1"/>
        <v>2840.259409793005</v>
      </c>
      <c r="Q21" s="44">
        <f t="shared" si="1"/>
        <v>59460.5654239945</v>
      </c>
    </row>
    <row r="22" spans="1:17" ht="26" x14ac:dyDescent="0.3">
      <c r="A22" s="42" t="s">
        <v>87</v>
      </c>
      <c r="B22" s="43">
        <v>31307.297555272402</v>
      </c>
      <c r="C22" s="43">
        <v>241629.626092422</v>
      </c>
      <c r="D22" s="43">
        <v>3947.1583346830098</v>
      </c>
      <c r="E22" s="43">
        <v>37655.242410483996</v>
      </c>
      <c r="F22" s="43">
        <v>3876.0247210399998</v>
      </c>
      <c r="G22" s="43">
        <v>40591.517387697</v>
      </c>
      <c r="H22" s="43">
        <v>103.51405821099999</v>
      </c>
      <c r="I22" s="43">
        <v>1216.3712823398901</v>
      </c>
      <c r="J22" s="43">
        <v>664.57491640199999</v>
      </c>
      <c r="K22" s="43">
        <v>3284.688541901</v>
      </c>
      <c r="L22" s="44">
        <f t="shared" si="0"/>
        <v>4050.6723928940096</v>
      </c>
      <c r="M22" s="44">
        <f t="shared" si="0"/>
        <v>38871.613692823885</v>
      </c>
      <c r="N22" s="44">
        <f t="shared" si="0"/>
        <v>4540.5996374420001</v>
      </c>
      <c r="O22" s="44">
        <f t="shared" si="0"/>
        <v>43876.205929598</v>
      </c>
      <c r="P22" s="44">
        <f t="shared" si="1"/>
        <v>-489.92724454799054</v>
      </c>
      <c r="Q22" s="44">
        <f t="shared" si="1"/>
        <v>-5004.592236774115</v>
      </c>
    </row>
    <row r="23" spans="1:17" ht="26" x14ac:dyDescent="0.3">
      <c r="A23" s="42" t="s">
        <v>82</v>
      </c>
      <c r="B23" s="43">
        <v>17020.565144771699</v>
      </c>
      <c r="C23" s="43">
        <v>187028.86214784399</v>
      </c>
      <c r="D23" s="43">
        <v>658.25364515699994</v>
      </c>
      <c r="E23" s="43">
        <v>7727.4458541870108</v>
      </c>
      <c r="F23" s="43">
        <v>375.79092235600001</v>
      </c>
      <c r="G23" s="43">
        <v>3224.9551640519999</v>
      </c>
      <c r="H23" s="43">
        <v>85.974419890999997</v>
      </c>
      <c r="I23" s="43">
        <v>822.27507835957294</v>
      </c>
      <c r="J23" s="43">
        <v>3.9870748809999998</v>
      </c>
      <c r="K23" s="43">
        <v>403.21495835233401</v>
      </c>
      <c r="L23" s="44">
        <f t="shared" si="0"/>
        <v>744.22806504799996</v>
      </c>
      <c r="M23" s="44">
        <f t="shared" si="0"/>
        <v>8549.7209325465847</v>
      </c>
      <c r="N23" s="44">
        <f t="shared" si="0"/>
        <v>379.77799723700002</v>
      </c>
      <c r="O23" s="44">
        <f t="shared" si="0"/>
        <v>3628.1701224043341</v>
      </c>
      <c r="P23" s="44">
        <f t="shared" si="1"/>
        <v>364.45006781099994</v>
      </c>
      <c r="Q23" s="44">
        <f t="shared" si="1"/>
        <v>4921.5508101422511</v>
      </c>
    </row>
    <row r="24" spans="1:17" ht="26" x14ac:dyDescent="0.3">
      <c r="A24" s="42" t="s">
        <v>83</v>
      </c>
      <c r="B24" s="43">
        <v>17789.3266368314</v>
      </c>
      <c r="C24" s="43">
        <v>126043.323714757</v>
      </c>
      <c r="D24" s="43">
        <v>1624.8658712179999</v>
      </c>
      <c r="E24" s="43">
        <v>13932.163916497</v>
      </c>
      <c r="F24" s="43">
        <v>1316.9082087470001</v>
      </c>
      <c r="G24" s="43">
        <v>4460.8649599609998</v>
      </c>
      <c r="H24" s="43">
        <v>2.9437562020000003</v>
      </c>
      <c r="I24" s="43">
        <v>307.393564230013</v>
      </c>
      <c r="J24" s="43">
        <v>64.513001871</v>
      </c>
      <c r="K24" s="43">
        <v>358.80497710900005</v>
      </c>
      <c r="L24" s="44">
        <f t="shared" si="0"/>
        <v>1627.80962742</v>
      </c>
      <c r="M24" s="44">
        <f t="shared" si="0"/>
        <v>14239.557480727013</v>
      </c>
      <c r="N24" s="44">
        <f t="shared" si="0"/>
        <v>1381.421210618</v>
      </c>
      <c r="O24" s="44">
        <f t="shared" si="0"/>
        <v>4819.6699370699998</v>
      </c>
      <c r="P24" s="44">
        <f t="shared" si="1"/>
        <v>246.38841680199994</v>
      </c>
      <c r="Q24" s="44">
        <f t="shared" si="1"/>
        <v>9419.8875436570124</v>
      </c>
    </row>
    <row r="25" spans="1:17" ht="26" x14ac:dyDescent="0.3">
      <c r="A25" s="42" t="s">
        <v>86</v>
      </c>
      <c r="B25" s="43">
        <v>13051.203912232098</v>
      </c>
      <c r="C25" s="43">
        <v>122601.94837542399</v>
      </c>
      <c r="D25" s="43">
        <v>1333.6523632950002</v>
      </c>
      <c r="E25" s="43">
        <v>11235.819938531002</v>
      </c>
      <c r="F25" s="43">
        <v>1103.742503146</v>
      </c>
      <c r="G25" s="43">
        <v>6946.1639034160007</v>
      </c>
      <c r="H25" s="43">
        <v>24.596491350000001</v>
      </c>
      <c r="I25" s="43">
        <v>655.80704476524488</v>
      </c>
      <c r="J25" s="43">
        <v>162.37056386399999</v>
      </c>
      <c r="K25" s="43">
        <v>1405.1476358140001</v>
      </c>
      <c r="L25" s="44">
        <f t="shared" si="0"/>
        <v>1358.2488546450002</v>
      </c>
      <c r="M25" s="44">
        <f t="shared" si="0"/>
        <v>11891.626983296246</v>
      </c>
      <c r="N25" s="44">
        <f t="shared" si="0"/>
        <v>1266.1130670099999</v>
      </c>
      <c r="O25" s="44">
        <f t="shared" si="0"/>
        <v>8351.3115392300006</v>
      </c>
      <c r="P25" s="44">
        <f t="shared" si="1"/>
        <v>92.13578763500027</v>
      </c>
      <c r="Q25" s="44">
        <f t="shared" si="1"/>
        <v>3540.3154440662456</v>
      </c>
    </row>
    <row r="26" spans="1:17" ht="26" x14ac:dyDescent="0.3">
      <c r="A26" s="42" t="s">
        <v>88</v>
      </c>
      <c r="B26" s="43">
        <v>16035.917950482599</v>
      </c>
      <c r="C26" s="43">
        <v>120452.973740063</v>
      </c>
      <c r="D26" s="43">
        <v>1207.5680843580001</v>
      </c>
      <c r="E26" s="43">
        <v>14470.89782152</v>
      </c>
      <c r="F26" s="43">
        <v>568.48847700199997</v>
      </c>
      <c r="G26" s="43">
        <v>11160.064419801</v>
      </c>
      <c r="H26" s="43">
        <v>14.119816479999999</v>
      </c>
      <c r="I26" s="43">
        <v>357.37272247733</v>
      </c>
      <c r="J26" s="43">
        <v>100.126208248</v>
      </c>
      <c r="K26" s="43">
        <v>1278.6610470379999</v>
      </c>
      <c r="L26" s="44">
        <f t="shared" si="0"/>
        <v>1221.6879008380001</v>
      </c>
      <c r="M26" s="44">
        <f t="shared" si="0"/>
        <v>14828.270543997331</v>
      </c>
      <c r="N26" s="44">
        <f t="shared" si="0"/>
        <v>668.61468524999998</v>
      </c>
      <c r="O26" s="44">
        <f t="shared" si="0"/>
        <v>12438.725466839</v>
      </c>
      <c r="P26" s="44">
        <f t="shared" si="1"/>
        <v>553.07321558800015</v>
      </c>
      <c r="Q26" s="44">
        <f t="shared" si="1"/>
        <v>2389.545077158331</v>
      </c>
    </row>
    <row r="27" spans="1:17" x14ac:dyDescent="0.3">
      <c r="A27" s="42" t="s">
        <v>47</v>
      </c>
      <c r="B27" s="43">
        <v>8446.5107930736795</v>
      </c>
      <c r="C27" s="43">
        <v>92963.870661472814</v>
      </c>
      <c r="D27" s="43">
        <v>29029.096767230003</v>
      </c>
      <c r="E27" s="43">
        <v>323506.17462285602</v>
      </c>
      <c r="F27" s="43">
        <v>27414.004545045998</v>
      </c>
      <c r="G27" s="43">
        <v>304127.70076454501</v>
      </c>
      <c r="H27" s="43">
        <v>652.66912357699994</v>
      </c>
      <c r="I27" s="43">
        <v>2589.6758629322298</v>
      </c>
      <c r="J27" s="43">
        <v>107.354779413</v>
      </c>
      <c r="K27" s="43">
        <v>1471.922377456</v>
      </c>
      <c r="L27" s="44">
        <f t="shared" si="0"/>
        <v>29681.765890807004</v>
      </c>
      <c r="M27" s="44">
        <f t="shared" si="0"/>
        <v>326095.85048578825</v>
      </c>
      <c r="N27" s="44">
        <f t="shared" si="0"/>
        <v>27521.359324458997</v>
      </c>
      <c r="O27" s="44">
        <f t="shared" si="0"/>
        <v>305599.62314200099</v>
      </c>
      <c r="P27" s="44">
        <f t="shared" si="1"/>
        <v>2160.4065663480069</v>
      </c>
      <c r="Q27" s="44">
        <f t="shared" si="1"/>
        <v>20496.227343787265</v>
      </c>
    </row>
    <row r="28" spans="1:17" ht="26" x14ac:dyDescent="0.3">
      <c r="A28" s="42" t="s">
        <v>81</v>
      </c>
      <c r="B28" s="43">
        <v>6198.0489124145497</v>
      </c>
      <c r="C28" s="43">
        <v>80832.33389997021</v>
      </c>
      <c r="D28" s="43">
        <v>87.533098023000093</v>
      </c>
      <c r="E28" s="43">
        <v>1482.450989205</v>
      </c>
      <c r="F28" s="43">
        <v>84.298983067999998</v>
      </c>
      <c r="G28" s="43">
        <v>628.16597140199997</v>
      </c>
      <c r="H28" s="43">
        <v>0.85369502999999991</v>
      </c>
      <c r="I28" s="43">
        <v>138.928373444176</v>
      </c>
      <c r="J28" s="43">
        <v>14.172527898999999</v>
      </c>
      <c r="K28" s="43">
        <v>110.69392937299999</v>
      </c>
      <c r="L28" s="44">
        <f t="shared" si="0"/>
        <v>88.38679305300009</v>
      </c>
      <c r="M28" s="44">
        <f t="shared" si="0"/>
        <v>1621.3793626491761</v>
      </c>
      <c r="N28" s="44">
        <f t="shared" si="0"/>
        <v>98.471510967</v>
      </c>
      <c r="O28" s="44">
        <f t="shared" si="0"/>
        <v>738.85990077499991</v>
      </c>
      <c r="P28" s="44">
        <f t="shared" si="1"/>
        <v>-10.08471791399991</v>
      </c>
      <c r="Q28" s="44">
        <f t="shared" si="1"/>
        <v>882.51946187417616</v>
      </c>
    </row>
    <row r="29" spans="1:17" x14ac:dyDescent="0.3">
      <c r="A29" s="42" t="s">
        <v>45</v>
      </c>
      <c r="B29" s="43">
        <v>3266.1584159009099</v>
      </c>
      <c r="C29" s="43">
        <v>51242.053057041296</v>
      </c>
      <c r="D29" s="43">
        <v>24.978867679</v>
      </c>
      <c r="E29" s="43">
        <v>1637.7071422399999</v>
      </c>
      <c r="F29" s="43">
        <v>77.557972688000007</v>
      </c>
      <c r="G29" s="43">
        <v>1027.2380874360001</v>
      </c>
      <c r="H29" s="43">
        <v>0.73867746299999992</v>
      </c>
      <c r="I29" s="43">
        <v>149.74922089327399</v>
      </c>
      <c r="J29" s="43">
        <v>3.8092995549999999</v>
      </c>
      <c r="K29" s="43">
        <v>204.44899636499997</v>
      </c>
      <c r="L29" s="44">
        <f t="shared" si="0"/>
        <v>25.717545141999999</v>
      </c>
      <c r="M29" s="44">
        <f t="shared" si="0"/>
        <v>1787.456363133274</v>
      </c>
      <c r="N29" s="44">
        <f t="shared" si="0"/>
        <v>81.367272243000002</v>
      </c>
      <c r="O29" s="44">
        <f t="shared" si="0"/>
        <v>1231.687083801</v>
      </c>
      <c r="P29" s="44">
        <f t="shared" si="1"/>
        <v>-55.649727101000003</v>
      </c>
      <c r="Q29" s="44">
        <f t="shared" si="1"/>
        <v>555.76927933227398</v>
      </c>
    </row>
    <row r="30" spans="1:17" x14ac:dyDescent="0.3">
      <c r="A30" s="42" t="s">
        <v>67</v>
      </c>
      <c r="B30" s="43">
        <v>3814.3057090858401</v>
      </c>
      <c r="C30" s="43">
        <v>38605.006547525103</v>
      </c>
      <c r="D30" s="43">
        <v>126.375387459</v>
      </c>
      <c r="E30" s="43">
        <v>1055.8829593399998</v>
      </c>
      <c r="F30" s="43">
        <v>70.271447437999996</v>
      </c>
      <c r="G30" s="43">
        <v>1256.531246068</v>
      </c>
      <c r="H30" s="43">
        <v>0.34370334000000002</v>
      </c>
      <c r="I30" s="43">
        <v>10.764114232459001</v>
      </c>
      <c r="J30" s="43">
        <v>24.488852268999999</v>
      </c>
      <c r="K30" s="43">
        <v>187.736040454</v>
      </c>
      <c r="L30" s="44">
        <f t="shared" si="0"/>
        <v>126.719090799</v>
      </c>
      <c r="M30" s="44">
        <f t="shared" si="0"/>
        <v>1066.6470735724588</v>
      </c>
      <c r="N30" s="44">
        <f t="shared" si="0"/>
        <v>94.760299707000001</v>
      </c>
      <c r="O30" s="44">
        <f t="shared" si="0"/>
        <v>1444.2672865219999</v>
      </c>
      <c r="P30" s="44">
        <f t="shared" si="1"/>
        <v>31.958791091999998</v>
      </c>
      <c r="Q30" s="44">
        <f t="shared" si="1"/>
        <v>-377.62021294954116</v>
      </c>
    </row>
    <row r="31" spans="1:17" ht="26" x14ac:dyDescent="0.3">
      <c r="A31" s="42" t="s">
        <v>66</v>
      </c>
      <c r="B31" s="43">
        <v>2867.7660682097103</v>
      </c>
      <c r="C31" s="43">
        <v>35731.780650965302</v>
      </c>
      <c r="D31" s="43">
        <v>44.678037055000004</v>
      </c>
      <c r="E31" s="43">
        <v>491.11438439999904</v>
      </c>
      <c r="F31" s="43">
        <v>24.330321778000002</v>
      </c>
      <c r="G31" s="43">
        <v>280.08915906499999</v>
      </c>
      <c r="H31" s="43">
        <v>5.6633047550000004</v>
      </c>
      <c r="I31" s="43">
        <v>42.6001502869875</v>
      </c>
      <c r="J31" s="43">
        <v>7.5110751130000004</v>
      </c>
      <c r="K31" s="43">
        <v>162.654597795</v>
      </c>
      <c r="L31" s="44">
        <f t="shared" si="0"/>
        <v>50.341341810000003</v>
      </c>
      <c r="M31" s="44">
        <f t="shared" si="0"/>
        <v>533.71453468698655</v>
      </c>
      <c r="N31" s="44">
        <f t="shared" si="0"/>
        <v>31.841396891000002</v>
      </c>
      <c r="O31" s="44">
        <f t="shared" si="0"/>
        <v>442.74375685999996</v>
      </c>
      <c r="P31" s="44">
        <f t="shared" si="1"/>
        <v>18.499944919000001</v>
      </c>
      <c r="Q31" s="44">
        <f t="shared" si="1"/>
        <v>90.970777826986591</v>
      </c>
    </row>
    <row r="32" spans="1:17" ht="26" x14ac:dyDescent="0.3">
      <c r="A32" s="42" t="s">
        <v>59</v>
      </c>
      <c r="B32" s="43">
        <v>1895.1490108259102</v>
      </c>
      <c r="C32" s="43">
        <v>25074.218259041798</v>
      </c>
      <c r="D32" s="43">
        <v>67.295741496999995</v>
      </c>
      <c r="E32" s="43">
        <v>297.59448594500003</v>
      </c>
      <c r="F32" s="43">
        <v>74.655529453</v>
      </c>
      <c r="G32" s="43">
        <v>261.60293769499998</v>
      </c>
      <c r="H32" s="43">
        <v>3.7087570809999999</v>
      </c>
      <c r="I32" s="43">
        <v>12.427997083917401</v>
      </c>
      <c r="J32" s="43">
        <v>13.683035572</v>
      </c>
      <c r="K32" s="43">
        <v>70.892674267000004</v>
      </c>
      <c r="L32" s="44">
        <f t="shared" si="0"/>
        <v>71.004498577999996</v>
      </c>
      <c r="M32" s="44">
        <f t="shared" si="0"/>
        <v>310.02248302891741</v>
      </c>
      <c r="N32" s="44">
        <f t="shared" si="0"/>
        <v>88.338565024999994</v>
      </c>
      <c r="O32" s="44">
        <f t="shared" si="0"/>
        <v>332.495611962</v>
      </c>
      <c r="P32" s="44">
        <f t="shared" si="1"/>
        <v>-17.334066446999998</v>
      </c>
      <c r="Q32" s="44">
        <f t="shared" si="1"/>
        <v>-22.473128933082592</v>
      </c>
    </row>
    <row r="33" spans="1:17" ht="26" x14ac:dyDescent="0.3">
      <c r="A33" s="42" t="s">
        <v>70</v>
      </c>
      <c r="B33" s="43">
        <v>194.849913258919</v>
      </c>
      <c r="C33" s="43">
        <v>20564.511533507401</v>
      </c>
      <c r="D33" s="43">
        <v>3.5097446880000001</v>
      </c>
      <c r="E33" s="43">
        <v>242.47617713399998</v>
      </c>
      <c r="F33" s="43">
        <v>4.9188750890000001</v>
      </c>
      <c r="G33" s="43">
        <v>329.11709890200001</v>
      </c>
      <c r="H33" s="43">
        <v>0.144082247</v>
      </c>
      <c r="I33" s="43">
        <v>16.197763957999999</v>
      </c>
      <c r="J33" s="43">
        <v>7.926253827</v>
      </c>
      <c r="K33" s="43">
        <v>203.506933804</v>
      </c>
      <c r="L33" s="44">
        <f t="shared" si="0"/>
        <v>3.6538269350000001</v>
      </c>
      <c r="M33" s="44">
        <f t="shared" si="0"/>
        <v>258.67394109200001</v>
      </c>
      <c r="N33" s="44">
        <f t="shared" si="0"/>
        <v>12.845128916</v>
      </c>
      <c r="O33" s="44">
        <f t="shared" si="0"/>
        <v>532.62403270599998</v>
      </c>
      <c r="P33" s="44">
        <f t="shared" si="1"/>
        <v>-9.1913019810000005</v>
      </c>
      <c r="Q33" s="44">
        <f t="shared" si="1"/>
        <v>-273.95009161399997</v>
      </c>
    </row>
    <row r="34" spans="1:17" ht="26" x14ac:dyDescent="0.3">
      <c r="A34" s="42" t="s">
        <v>58</v>
      </c>
      <c r="B34" s="43">
        <v>700.62227465041406</v>
      </c>
      <c r="C34" s="43">
        <v>19645.184930938201</v>
      </c>
      <c r="D34" s="43">
        <v>3.2824701119999999</v>
      </c>
      <c r="E34" s="43">
        <v>58.838683085</v>
      </c>
      <c r="F34" s="43">
        <v>6.7635241140000009</v>
      </c>
      <c r="G34" s="43">
        <v>142.37856336900001</v>
      </c>
      <c r="H34" s="43">
        <v>0.29897025399999999</v>
      </c>
      <c r="I34" s="43">
        <v>7.9872403298293504</v>
      </c>
      <c r="J34" s="43">
        <v>1.0916893190000001</v>
      </c>
      <c r="K34" s="43">
        <v>34.063982013</v>
      </c>
      <c r="L34" s="44">
        <f t="shared" si="0"/>
        <v>3.5814403659999998</v>
      </c>
      <c r="M34" s="44">
        <f t="shared" si="0"/>
        <v>66.825923414829347</v>
      </c>
      <c r="N34" s="44">
        <f t="shared" si="0"/>
        <v>7.8552134330000012</v>
      </c>
      <c r="O34" s="44">
        <f t="shared" si="0"/>
        <v>176.44254538199999</v>
      </c>
      <c r="P34" s="44">
        <f t="shared" si="1"/>
        <v>-4.2737730670000014</v>
      </c>
      <c r="Q34" s="44">
        <f t="shared" si="1"/>
        <v>-109.61662196717064</v>
      </c>
    </row>
    <row r="35" spans="1:17" x14ac:dyDescent="0.3">
      <c r="A35" s="42" t="s">
        <v>52</v>
      </c>
      <c r="B35" s="43">
        <v>1094.0404774538101</v>
      </c>
      <c r="C35" s="43">
        <v>14420.6673035942</v>
      </c>
      <c r="D35" s="43">
        <v>0</v>
      </c>
      <c r="E35" s="43">
        <v>1.1236000000000001E-5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4">
        <f t="shared" si="0"/>
        <v>0</v>
      </c>
      <c r="M35" s="44">
        <f t="shared" si="0"/>
        <v>1.1236000000000001E-5</v>
      </c>
      <c r="N35" s="44">
        <f t="shared" si="0"/>
        <v>0</v>
      </c>
      <c r="O35" s="44">
        <f t="shared" si="0"/>
        <v>0</v>
      </c>
      <c r="P35" s="44">
        <f t="shared" si="1"/>
        <v>0</v>
      </c>
      <c r="Q35" s="44">
        <f t="shared" si="1"/>
        <v>1.1236000000000001E-5</v>
      </c>
    </row>
    <row r="36" spans="1:17" ht="39" x14ac:dyDescent="0.3">
      <c r="A36" s="42" t="s">
        <v>71</v>
      </c>
      <c r="B36" s="43">
        <v>2098.38183802918</v>
      </c>
      <c r="C36" s="43">
        <v>11417.608987970101</v>
      </c>
      <c r="D36" s="43">
        <v>49.715200211000003</v>
      </c>
      <c r="E36" s="43">
        <v>119.740468119</v>
      </c>
      <c r="F36" s="43">
        <v>76.883190447000004</v>
      </c>
      <c r="G36" s="43">
        <v>103.313858212</v>
      </c>
      <c r="H36" s="43">
        <v>1.2498808320000001</v>
      </c>
      <c r="I36" s="43">
        <v>14.434285018227198</v>
      </c>
      <c r="J36" s="43">
        <v>1.3957000500000001</v>
      </c>
      <c r="K36" s="43">
        <v>24.314610287999997</v>
      </c>
      <c r="L36" s="44">
        <f t="shared" si="0"/>
        <v>50.965081043000005</v>
      </c>
      <c r="M36" s="44">
        <f t="shared" si="0"/>
        <v>134.17475313722719</v>
      </c>
      <c r="N36" s="44">
        <f t="shared" si="0"/>
        <v>78.278890497000006</v>
      </c>
      <c r="O36" s="44">
        <f t="shared" si="0"/>
        <v>127.6284685</v>
      </c>
      <c r="P36" s="44">
        <f t="shared" si="1"/>
        <v>-27.313809454000001</v>
      </c>
      <c r="Q36" s="44">
        <f t="shared" si="1"/>
        <v>6.5462846372271883</v>
      </c>
    </row>
    <row r="37" spans="1:17" ht="52" x14ac:dyDescent="0.3">
      <c r="A37" s="42" t="s">
        <v>68</v>
      </c>
      <c r="B37" s="43">
        <v>0</v>
      </c>
      <c r="C37" s="43">
        <v>4822.7412551566104</v>
      </c>
      <c r="D37" s="43">
        <v>0</v>
      </c>
      <c r="E37" s="43">
        <v>33.683745758999997</v>
      </c>
      <c r="F37" s="43">
        <v>0</v>
      </c>
      <c r="G37" s="43">
        <v>93.647532160999901</v>
      </c>
      <c r="H37" s="43">
        <v>0</v>
      </c>
      <c r="I37" s="43">
        <v>3.8357883190000002</v>
      </c>
      <c r="J37" s="43">
        <v>0</v>
      </c>
      <c r="K37" s="43">
        <v>15.960953105000002</v>
      </c>
      <c r="L37" s="44">
        <f t="shared" si="0"/>
        <v>0</v>
      </c>
      <c r="M37" s="44">
        <f t="shared" si="0"/>
        <v>37.519534078</v>
      </c>
      <c r="N37" s="44">
        <f t="shared" si="0"/>
        <v>0</v>
      </c>
      <c r="O37" s="44">
        <f t="shared" si="0"/>
        <v>109.6084852659999</v>
      </c>
      <c r="P37" s="44">
        <f t="shared" si="1"/>
        <v>0</v>
      </c>
      <c r="Q37" s="44">
        <f t="shared" si="1"/>
        <v>-72.088951187999896</v>
      </c>
    </row>
    <row r="38" spans="1:17" ht="26" x14ac:dyDescent="0.3">
      <c r="A38" s="42" t="s">
        <v>69</v>
      </c>
      <c r="B38" s="43">
        <v>0</v>
      </c>
      <c r="C38" s="43">
        <v>28.416636742999998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4">
        <f t="shared" si="0"/>
        <v>0</v>
      </c>
      <c r="M38" s="44">
        <f t="shared" si="0"/>
        <v>0</v>
      </c>
      <c r="N38" s="44">
        <f t="shared" si="0"/>
        <v>0</v>
      </c>
      <c r="O38" s="44">
        <f t="shared" si="0"/>
        <v>0</v>
      </c>
      <c r="P38" s="44">
        <f t="shared" si="1"/>
        <v>0</v>
      </c>
      <c r="Q38" s="44">
        <f t="shared" si="1"/>
        <v>0</v>
      </c>
    </row>
    <row r="39" spans="1:17" x14ac:dyDescent="0.3">
      <c r="A39" s="42" t="s">
        <v>75</v>
      </c>
      <c r="B39" s="43">
        <v>0</v>
      </c>
      <c r="C39" s="43">
        <v>1.1861600000000002E-2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4">
        <f t="shared" si="0"/>
        <v>0</v>
      </c>
      <c r="M39" s="44">
        <f t="shared" si="0"/>
        <v>0</v>
      </c>
      <c r="N39" s="44">
        <f t="shared" si="0"/>
        <v>0</v>
      </c>
      <c r="O39" s="44">
        <f t="shared" si="0"/>
        <v>0</v>
      </c>
      <c r="P39" s="44">
        <f t="shared" si="1"/>
        <v>0</v>
      </c>
      <c r="Q39" s="44">
        <f t="shared" si="1"/>
        <v>0</v>
      </c>
    </row>
    <row r="40" spans="1:17" ht="52" x14ac:dyDescent="0.3">
      <c r="A40" s="42" t="s">
        <v>55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4">
        <f t="shared" si="0"/>
        <v>0</v>
      </c>
      <c r="M40" s="44">
        <f t="shared" si="0"/>
        <v>0</v>
      </c>
      <c r="N40" s="44">
        <f t="shared" si="0"/>
        <v>0</v>
      </c>
      <c r="O40" s="44">
        <f t="shared" si="0"/>
        <v>0</v>
      </c>
      <c r="P40" s="44">
        <f t="shared" si="1"/>
        <v>0</v>
      </c>
      <c r="Q40" s="44">
        <f t="shared" si="1"/>
        <v>0</v>
      </c>
    </row>
    <row r="41" spans="1:17" ht="26" x14ac:dyDescent="0.3">
      <c r="A41" s="42" t="s">
        <v>285</v>
      </c>
      <c r="B41" s="43">
        <v>12802.4897803944</v>
      </c>
      <c r="C41" s="43">
        <v>599615.35586864001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4">
        <f t="shared" si="0"/>
        <v>0</v>
      </c>
      <c r="M41" s="44">
        <f t="shared" si="0"/>
        <v>0</v>
      </c>
      <c r="N41" s="44">
        <f t="shared" si="0"/>
        <v>0</v>
      </c>
      <c r="O41" s="44">
        <f t="shared" si="0"/>
        <v>0</v>
      </c>
      <c r="P41" s="44">
        <f t="shared" si="1"/>
        <v>0</v>
      </c>
      <c r="Q41" s="44">
        <f t="shared" si="1"/>
        <v>0</v>
      </c>
    </row>
    <row r="42" spans="1:17" ht="26" x14ac:dyDescent="0.3">
      <c r="A42" s="42" t="s">
        <v>100</v>
      </c>
      <c r="B42" s="43">
        <v>2875.4261260378903</v>
      </c>
      <c r="C42" s="43">
        <v>149889.943638889</v>
      </c>
      <c r="D42" s="43">
        <v>98.273858464</v>
      </c>
      <c r="E42" s="43">
        <v>3067.8579278460002</v>
      </c>
      <c r="F42" s="43">
        <v>32.359625798563101</v>
      </c>
      <c r="G42" s="43">
        <v>1740.8528475197099</v>
      </c>
      <c r="H42" s="43">
        <v>15.243685230999999</v>
      </c>
      <c r="I42" s="43">
        <v>568.01040863933201</v>
      </c>
      <c r="J42" s="43">
        <v>5.9588044351782399</v>
      </c>
      <c r="K42" s="43">
        <v>265.530290244421</v>
      </c>
      <c r="L42" s="44">
        <f t="shared" si="0"/>
        <v>113.517543695</v>
      </c>
      <c r="M42" s="44">
        <f t="shared" si="0"/>
        <v>3635.8683364853323</v>
      </c>
      <c r="N42" s="44">
        <f t="shared" si="0"/>
        <v>38.318430233741338</v>
      </c>
      <c r="O42" s="44">
        <f t="shared" si="0"/>
        <v>2006.3831377641309</v>
      </c>
      <c r="P42" s="44">
        <f t="shared" si="1"/>
        <v>75.199113461258662</v>
      </c>
      <c r="Q42" s="44">
        <f t="shared" si="1"/>
        <v>1629.4851987212014</v>
      </c>
    </row>
    <row r="43" spans="1:17" ht="26" x14ac:dyDescent="0.3">
      <c r="A43" s="42" t="s">
        <v>74</v>
      </c>
      <c r="B43" s="43">
        <v>8212.6219873761802</v>
      </c>
      <c r="C43" s="43">
        <v>109643.62950074799</v>
      </c>
      <c r="D43" s="43">
        <v>871.86483416299905</v>
      </c>
      <c r="E43" s="43">
        <v>4756.7399690300099</v>
      </c>
      <c r="F43" s="43">
        <v>42.347728478999997</v>
      </c>
      <c r="G43" s="43">
        <v>653.21251608952105</v>
      </c>
      <c r="H43" s="43">
        <v>100.79718400399999</v>
      </c>
      <c r="I43" s="43">
        <v>1522.94001523882</v>
      </c>
      <c r="J43" s="43">
        <v>6.0150509330000004</v>
      </c>
      <c r="K43" s="43">
        <v>186.99466416862299</v>
      </c>
      <c r="L43" s="44">
        <f t="shared" si="0"/>
        <v>972.66201816699902</v>
      </c>
      <c r="M43" s="44">
        <f t="shared" si="0"/>
        <v>6279.6799842688297</v>
      </c>
      <c r="N43" s="44">
        <f t="shared" si="0"/>
        <v>48.362779411999995</v>
      </c>
      <c r="O43" s="44">
        <f t="shared" si="0"/>
        <v>840.20718025814404</v>
      </c>
      <c r="P43" s="44">
        <f t="shared" si="1"/>
        <v>924.29923875499901</v>
      </c>
      <c r="Q43" s="44">
        <f t="shared" si="1"/>
        <v>5439.4728040106856</v>
      </c>
    </row>
    <row r="44" spans="1:17" ht="26" x14ac:dyDescent="0.3">
      <c r="A44" s="42" t="s">
        <v>101</v>
      </c>
      <c r="B44" s="43">
        <v>12609.6059007483</v>
      </c>
      <c r="C44" s="43">
        <v>108948.30326599401</v>
      </c>
      <c r="D44" s="43">
        <v>59.306775547999997</v>
      </c>
      <c r="E44" s="43">
        <v>890.00338161799993</v>
      </c>
      <c r="F44" s="43">
        <v>257.40695270100002</v>
      </c>
      <c r="G44" s="43">
        <v>1384.0822282470001</v>
      </c>
      <c r="H44" s="43">
        <v>0.14064891800000001</v>
      </c>
      <c r="I44" s="43">
        <v>9.8390232249999894</v>
      </c>
      <c r="J44" s="43">
        <v>26.023468478999998</v>
      </c>
      <c r="K44" s="43">
        <v>290.72300720499999</v>
      </c>
      <c r="L44" s="44">
        <f t="shared" si="0"/>
        <v>59.447424465999994</v>
      </c>
      <c r="M44" s="44">
        <f t="shared" si="0"/>
        <v>899.84240484299994</v>
      </c>
      <c r="N44" s="44">
        <f t="shared" si="0"/>
        <v>283.43042118</v>
      </c>
      <c r="O44" s="44">
        <f t="shared" si="0"/>
        <v>1674.805235452</v>
      </c>
      <c r="P44" s="44">
        <f t="shared" si="1"/>
        <v>-223.982996714</v>
      </c>
      <c r="Q44" s="44">
        <f t="shared" si="1"/>
        <v>-774.96283060900009</v>
      </c>
    </row>
    <row r="45" spans="1:17" ht="26" x14ac:dyDescent="0.3">
      <c r="A45" s="42" t="s">
        <v>283</v>
      </c>
      <c r="B45" s="43">
        <v>1391.4872753984998</v>
      </c>
      <c r="C45" s="43">
        <v>71735.328251940606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4">
        <f t="shared" si="0"/>
        <v>0</v>
      </c>
      <c r="M45" s="44">
        <f t="shared" si="0"/>
        <v>0</v>
      </c>
      <c r="N45" s="44">
        <f t="shared" si="0"/>
        <v>0</v>
      </c>
      <c r="O45" s="44">
        <f t="shared" si="0"/>
        <v>0</v>
      </c>
      <c r="P45" s="44">
        <f t="shared" si="1"/>
        <v>0</v>
      </c>
      <c r="Q45" s="44">
        <f t="shared" si="1"/>
        <v>0</v>
      </c>
    </row>
    <row r="46" spans="1:17" x14ac:dyDescent="0.3">
      <c r="A46" s="42" t="s">
        <v>50</v>
      </c>
      <c r="B46" s="43">
        <v>7854.3569650360105</v>
      </c>
      <c r="C46" s="43">
        <v>61630.883720559999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4">
        <f t="shared" si="0"/>
        <v>0</v>
      </c>
      <c r="M46" s="44">
        <f t="shared" si="0"/>
        <v>0</v>
      </c>
      <c r="N46" s="44">
        <f t="shared" si="0"/>
        <v>0</v>
      </c>
      <c r="O46" s="44">
        <f t="shared" si="0"/>
        <v>0</v>
      </c>
      <c r="P46" s="44">
        <f t="shared" si="1"/>
        <v>0</v>
      </c>
      <c r="Q46" s="44">
        <f t="shared" si="1"/>
        <v>0</v>
      </c>
    </row>
    <row r="47" spans="1:17" ht="26" x14ac:dyDescent="0.3">
      <c r="A47" s="42" t="s">
        <v>284</v>
      </c>
      <c r="B47" s="43">
        <v>1409.6621228107601</v>
      </c>
      <c r="C47" s="43">
        <v>48305.147699594098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4">
        <f t="shared" si="0"/>
        <v>0</v>
      </c>
      <c r="M47" s="44">
        <f t="shared" si="0"/>
        <v>0</v>
      </c>
      <c r="N47" s="44">
        <f t="shared" si="0"/>
        <v>0</v>
      </c>
      <c r="O47" s="44">
        <f t="shared" si="0"/>
        <v>0</v>
      </c>
      <c r="P47" s="44">
        <f t="shared" si="1"/>
        <v>0</v>
      </c>
      <c r="Q47" s="44">
        <f t="shared" si="1"/>
        <v>0</v>
      </c>
    </row>
    <row r="48" spans="1:17" ht="26" x14ac:dyDescent="0.3">
      <c r="A48" s="42" t="s">
        <v>34</v>
      </c>
      <c r="B48" s="43">
        <v>4050.5159642354497</v>
      </c>
      <c r="C48" s="43">
        <v>26749.769962495397</v>
      </c>
      <c r="D48" s="43">
        <v>24.513914513</v>
      </c>
      <c r="E48" s="43">
        <v>224.32826498400001</v>
      </c>
      <c r="F48" s="43">
        <v>23.644350527</v>
      </c>
      <c r="G48" s="43">
        <v>158.71782852600001</v>
      </c>
      <c r="H48" s="43">
        <v>11.878451480000001</v>
      </c>
      <c r="I48" s="43">
        <v>46.175072223999997</v>
      </c>
      <c r="J48" s="43">
        <v>6.501957301</v>
      </c>
      <c r="K48" s="43">
        <v>53.607885296000006</v>
      </c>
      <c r="L48" s="44">
        <f t="shared" si="0"/>
        <v>36.392365992999999</v>
      </c>
      <c r="M48" s="44">
        <f t="shared" si="0"/>
        <v>270.503337208</v>
      </c>
      <c r="N48" s="44">
        <f t="shared" si="0"/>
        <v>30.146307828000001</v>
      </c>
      <c r="O48" s="44">
        <f t="shared" si="0"/>
        <v>212.32571382200001</v>
      </c>
      <c r="P48" s="44">
        <f t="shared" si="1"/>
        <v>6.2460581649999973</v>
      </c>
      <c r="Q48" s="44">
        <f t="shared" si="1"/>
        <v>58.177623385999993</v>
      </c>
    </row>
    <row r="49" spans="1:17" ht="26" x14ac:dyDescent="0.3">
      <c r="A49" s="42" t="s">
        <v>78</v>
      </c>
      <c r="B49" s="43">
        <v>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4">
        <f t="shared" si="0"/>
        <v>0</v>
      </c>
      <c r="M49" s="44">
        <f t="shared" si="0"/>
        <v>0</v>
      </c>
      <c r="N49" s="44">
        <f t="shared" si="0"/>
        <v>0</v>
      </c>
      <c r="O49" s="44">
        <f t="shared" si="0"/>
        <v>0</v>
      </c>
      <c r="P49" s="44">
        <f t="shared" si="1"/>
        <v>0</v>
      </c>
      <c r="Q49" s="44">
        <f t="shared" si="1"/>
        <v>0</v>
      </c>
    </row>
    <row r="50" spans="1:17" ht="26" x14ac:dyDescent="0.3">
      <c r="A50" s="42" t="s">
        <v>40</v>
      </c>
      <c r="B50" s="43">
        <v>0</v>
      </c>
      <c r="C50" s="43">
        <v>26270.326608412099</v>
      </c>
      <c r="D50" s="43">
        <v>0</v>
      </c>
      <c r="E50" s="43">
        <v>157.85392476200002</v>
      </c>
      <c r="F50" s="43">
        <v>0</v>
      </c>
      <c r="G50" s="43">
        <v>78.2471656410126</v>
      </c>
      <c r="H50" s="43">
        <v>0</v>
      </c>
      <c r="I50" s="43">
        <v>25.693930991603803</v>
      </c>
      <c r="J50" s="43">
        <v>0</v>
      </c>
      <c r="K50" s="43">
        <v>24.963334339683701</v>
      </c>
      <c r="L50" s="44">
        <f t="shared" si="0"/>
        <v>0</v>
      </c>
      <c r="M50" s="44">
        <f t="shared" si="0"/>
        <v>183.54785575360381</v>
      </c>
      <c r="N50" s="44">
        <f t="shared" si="0"/>
        <v>0</v>
      </c>
      <c r="O50" s="44">
        <f t="shared" si="0"/>
        <v>103.2104999806963</v>
      </c>
      <c r="P50" s="44">
        <f t="shared" si="1"/>
        <v>0</v>
      </c>
      <c r="Q50" s="44">
        <f t="shared" si="1"/>
        <v>80.337355772907515</v>
      </c>
    </row>
    <row r="51" spans="1:17" x14ac:dyDescent="0.3">
      <c r="A51" s="42" t="s">
        <v>39</v>
      </c>
      <c r="B51" s="43">
        <v>0</v>
      </c>
      <c r="C51" s="43">
        <v>17869.219319787</v>
      </c>
      <c r="D51" s="43">
        <v>0</v>
      </c>
      <c r="E51" s="43">
        <v>142.29644080399999</v>
      </c>
      <c r="F51" s="43">
        <v>0</v>
      </c>
      <c r="G51" s="43">
        <v>27.356105281546903</v>
      </c>
      <c r="H51" s="43">
        <v>0</v>
      </c>
      <c r="I51" s="43">
        <v>4.89756316999999</v>
      </c>
      <c r="J51" s="43">
        <v>0</v>
      </c>
      <c r="K51" s="43">
        <v>4.39077838850167</v>
      </c>
      <c r="L51" s="44">
        <f t="shared" si="0"/>
        <v>0</v>
      </c>
      <c r="M51" s="44">
        <f t="shared" si="0"/>
        <v>147.19400397399997</v>
      </c>
      <c r="N51" s="44">
        <f t="shared" si="0"/>
        <v>0</v>
      </c>
      <c r="O51" s="44">
        <f t="shared" si="0"/>
        <v>31.746883670048572</v>
      </c>
      <c r="P51" s="44">
        <f t="shared" si="1"/>
        <v>0</v>
      </c>
      <c r="Q51" s="44">
        <f t="shared" si="1"/>
        <v>115.44712030395139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G1" sqref="G1"/>
    </sheetView>
  </sheetViews>
  <sheetFormatPr defaultColWidth="9.1796875" defaultRowHeight="14.5" x14ac:dyDescent="0.35"/>
  <cols>
    <col min="1" max="1" width="43.54296875" style="28" bestFit="1" customWidth="1"/>
    <col min="2" max="2" width="42.453125" style="28" bestFit="1" customWidth="1"/>
    <col min="3" max="3" width="16.1796875" style="28" customWidth="1"/>
    <col min="4" max="4" width="18.7265625" style="33" bestFit="1" customWidth="1"/>
    <col min="5" max="5" width="18.453125" style="33" bestFit="1" customWidth="1"/>
    <col min="6" max="6" width="11.81640625" style="33" bestFit="1" customWidth="1"/>
    <col min="7" max="7" width="11.1796875" style="33" bestFit="1" customWidth="1"/>
    <col min="8" max="8" width="9" style="28" customWidth="1"/>
    <col min="9" max="9" width="11.26953125" style="28" bestFit="1" customWidth="1"/>
    <col min="10" max="16384" width="9.1796875" style="28"/>
  </cols>
  <sheetData>
    <row r="1" spans="1:9" x14ac:dyDescent="0.35">
      <c r="A1" s="27" t="s">
        <v>102</v>
      </c>
      <c r="B1" s="27" t="s">
        <v>103</v>
      </c>
      <c r="C1" s="27" t="s">
        <v>3</v>
      </c>
      <c r="D1" s="27" t="s">
        <v>104</v>
      </c>
      <c r="E1" s="27" t="s">
        <v>105</v>
      </c>
      <c r="F1" s="27" t="s">
        <v>0</v>
      </c>
      <c r="G1" s="27" t="s">
        <v>106</v>
      </c>
      <c r="H1" s="27" t="s">
        <v>107</v>
      </c>
      <c r="I1" s="27" t="s">
        <v>108</v>
      </c>
    </row>
    <row r="2" spans="1:9" x14ac:dyDescent="0.35">
      <c r="A2" s="29" t="s">
        <v>211</v>
      </c>
      <c r="B2" s="29" t="s">
        <v>130</v>
      </c>
      <c r="C2" s="29" t="s">
        <v>121</v>
      </c>
      <c r="D2" s="29" t="s">
        <v>121</v>
      </c>
      <c r="E2" s="29" t="s">
        <v>121</v>
      </c>
      <c r="F2" s="30">
        <v>686.38170624354791</v>
      </c>
      <c r="G2" s="30">
        <v>12.966679139</v>
      </c>
      <c r="H2" s="30">
        <v>8.5366469422421787</v>
      </c>
      <c r="I2" s="30">
        <v>4.4300321967578205</v>
      </c>
    </row>
    <row r="3" spans="1:9" x14ac:dyDescent="0.35">
      <c r="A3" s="29" t="s">
        <v>212</v>
      </c>
      <c r="B3" s="29" t="s">
        <v>130</v>
      </c>
      <c r="C3" s="29" t="s">
        <v>121</v>
      </c>
      <c r="D3" s="29" t="s">
        <v>121</v>
      </c>
      <c r="E3" s="29" t="s">
        <v>121</v>
      </c>
      <c r="F3" s="30">
        <v>3078.0345189741497</v>
      </c>
      <c r="G3" s="30">
        <v>100.5664720550008</v>
      </c>
      <c r="H3" s="30">
        <v>74.863366550758599</v>
      </c>
      <c r="I3" s="30">
        <v>25.703105504242203</v>
      </c>
    </row>
    <row r="4" spans="1:9" x14ac:dyDescent="0.35">
      <c r="A4" s="29" t="s">
        <v>213</v>
      </c>
      <c r="B4" s="29" t="s">
        <v>149</v>
      </c>
      <c r="C4" s="29" t="s">
        <v>150</v>
      </c>
      <c r="D4" s="29" t="s">
        <v>121</v>
      </c>
      <c r="E4" s="29" t="s">
        <v>121</v>
      </c>
      <c r="F4" s="30">
        <v>109.84486505410099</v>
      </c>
      <c r="G4" s="30">
        <v>3.4985206890000002</v>
      </c>
      <c r="H4" s="30">
        <v>3.0598128310000003</v>
      </c>
      <c r="I4" s="30">
        <v>0.43870785800000006</v>
      </c>
    </row>
    <row r="5" spans="1:9" x14ac:dyDescent="0.35">
      <c r="A5" s="29" t="s">
        <v>214</v>
      </c>
      <c r="B5" s="29" t="s">
        <v>149</v>
      </c>
      <c r="C5" s="29" t="s">
        <v>150</v>
      </c>
      <c r="D5" s="29" t="s">
        <v>121</v>
      </c>
      <c r="E5" s="29" t="s">
        <v>121</v>
      </c>
      <c r="F5" s="30">
        <v>2256.5820639068402</v>
      </c>
      <c r="G5" s="30">
        <v>56.114355114999995</v>
      </c>
      <c r="H5" s="30">
        <v>40.007111248999998</v>
      </c>
      <c r="I5" s="30">
        <v>16.107243865999997</v>
      </c>
    </row>
    <row r="6" spans="1:9" x14ac:dyDescent="0.35">
      <c r="A6" s="29" t="s">
        <v>215</v>
      </c>
      <c r="B6" s="29" t="s">
        <v>109</v>
      </c>
      <c r="C6" s="29" t="s">
        <v>110</v>
      </c>
      <c r="D6" s="29" t="s">
        <v>111</v>
      </c>
      <c r="E6" s="29" t="s">
        <v>90</v>
      </c>
      <c r="F6" s="30">
        <v>1403.73172599587</v>
      </c>
      <c r="G6" s="30">
        <v>0.44514789999999999</v>
      </c>
      <c r="H6" s="30">
        <v>-50.760666217000001</v>
      </c>
      <c r="I6" s="30">
        <v>51.205814117000003</v>
      </c>
    </row>
    <row r="7" spans="1:9" x14ac:dyDescent="0.35">
      <c r="A7" s="29" t="s">
        <v>216</v>
      </c>
      <c r="B7" s="29" t="s">
        <v>109</v>
      </c>
      <c r="C7" s="29" t="s">
        <v>110</v>
      </c>
      <c r="D7" s="29" t="s">
        <v>111</v>
      </c>
      <c r="E7" s="29" t="s">
        <v>90</v>
      </c>
      <c r="F7" s="30">
        <v>1154.85211242523</v>
      </c>
      <c r="G7" s="30">
        <v>2.0352040109999998</v>
      </c>
      <c r="H7" s="30">
        <v>-159.20699561700002</v>
      </c>
      <c r="I7" s="30">
        <v>161.24219962800001</v>
      </c>
    </row>
    <row r="8" spans="1:9" x14ac:dyDescent="0.35">
      <c r="A8" s="29" t="s">
        <v>217</v>
      </c>
      <c r="B8" s="29" t="s">
        <v>131</v>
      </c>
      <c r="C8" s="29" t="s">
        <v>128</v>
      </c>
      <c r="D8" s="29" t="s">
        <v>111</v>
      </c>
      <c r="E8" s="29" t="s">
        <v>90</v>
      </c>
      <c r="F8" s="30">
        <v>7855.0050047328496</v>
      </c>
      <c r="G8" s="30">
        <v>8.6388491569999992</v>
      </c>
      <c r="H8" s="30">
        <v>-498.06785134900002</v>
      </c>
      <c r="I8" s="30">
        <v>506.706700506</v>
      </c>
    </row>
    <row r="9" spans="1:9" x14ac:dyDescent="0.35">
      <c r="A9" s="29" t="s">
        <v>218</v>
      </c>
      <c r="B9" s="29" t="s">
        <v>131</v>
      </c>
      <c r="C9" s="29" t="s">
        <v>128</v>
      </c>
      <c r="D9" s="29" t="s">
        <v>111</v>
      </c>
      <c r="E9" s="29" t="s">
        <v>90</v>
      </c>
      <c r="F9" s="30">
        <v>8877.0624580990607</v>
      </c>
      <c r="G9" s="30">
        <v>54.879687532999995</v>
      </c>
      <c r="H9" s="30">
        <v>-53.704701389000107</v>
      </c>
      <c r="I9" s="30">
        <v>108.5843889220001</v>
      </c>
    </row>
    <row r="10" spans="1:9" x14ac:dyDescent="0.35">
      <c r="A10" s="29" t="s">
        <v>219</v>
      </c>
      <c r="B10" s="29" t="s">
        <v>112</v>
      </c>
      <c r="C10" s="29" t="s">
        <v>110</v>
      </c>
      <c r="D10" s="29" t="s">
        <v>111</v>
      </c>
      <c r="E10" s="29" t="s">
        <v>90</v>
      </c>
      <c r="F10" s="30">
        <v>1210.50452665954</v>
      </c>
      <c r="G10" s="30">
        <v>17.086463837</v>
      </c>
      <c r="H10" s="30">
        <v>16.246460390999999</v>
      </c>
      <c r="I10" s="30">
        <v>0.8400034460000001</v>
      </c>
    </row>
    <row r="11" spans="1:9" x14ac:dyDescent="0.35">
      <c r="A11" s="29" t="s">
        <v>220</v>
      </c>
      <c r="B11" s="29" t="s">
        <v>112</v>
      </c>
      <c r="C11" s="29" t="s">
        <v>110</v>
      </c>
      <c r="D11" s="29" t="s">
        <v>111</v>
      </c>
      <c r="E11" s="29" t="s">
        <v>90</v>
      </c>
      <c r="F11" s="30">
        <v>795.24743121255699</v>
      </c>
      <c r="G11" s="30">
        <v>5.1116815610000002</v>
      </c>
      <c r="H11" s="30">
        <v>-17.512992633</v>
      </c>
      <c r="I11" s="30">
        <v>22.624674194000001</v>
      </c>
    </row>
    <row r="12" spans="1:9" x14ac:dyDescent="0.35">
      <c r="A12" s="29" t="s">
        <v>113</v>
      </c>
      <c r="B12" s="29" t="s">
        <v>114</v>
      </c>
      <c r="C12" s="29" t="s">
        <v>115</v>
      </c>
      <c r="D12" s="29" t="s">
        <v>116</v>
      </c>
      <c r="E12" s="29" t="s">
        <v>90</v>
      </c>
      <c r="F12" s="30">
        <v>1.22281E-10</v>
      </c>
      <c r="G12" s="30">
        <v>0</v>
      </c>
      <c r="H12" s="30">
        <v>0</v>
      </c>
      <c r="I12" s="30">
        <v>0</v>
      </c>
    </row>
    <row r="13" spans="1:9" x14ac:dyDescent="0.35">
      <c r="A13" s="29" t="s">
        <v>221</v>
      </c>
      <c r="B13" s="29" t="s">
        <v>114</v>
      </c>
      <c r="C13" s="29" t="s">
        <v>115</v>
      </c>
      <c r="D13" s="29" t="s">
        <v>116</v>
      </c>
      <c r="E13" s="29" t="s">
        <v>90</v>
      </c>
      <c r="F13" s="30">
        <v>27065.330387493897</v>
      </c>
      <c r="G13" s="30">
        <v>14921.863119874999</v>
      </c>
      <c r="H13" s="30">
        <v>3616.7697585859987</v>
      </c>
      <c r="I13" s="30">
        <v>11305.093361289</v>
      </c>
    </row>
    <row r="14" spans="1:9" x14ac:dyDescent="0.35">
      <c r="A14" s="29" t="s">
        <v>222</v>
      </c>
      <c r="B14" s="29" t="s">
        <v>114</v>
      </c>
      <c r="C14" s="29" t="s">
        <v>115</v>
      </c>
      <c r="D14" s="29" t="s">
        <v>116</v>
      </c>
      <c r="E14" s="29" t="s">
        <v>90</v>
      </c>
      <c r="F14" s="30">
        <v>8371.2156677890107</v>
      </c>
      <c r="G14" s="30">
        <v>2274.6909288040001</v>
      </c>
      <c r="H14" s="30">
        <v>652.41606018200014</v>
      </c>
      <c r="I14" s="30">
        <v>1622.274868622</v>
      </c>
    </row>
    <row r="15" spans="1:9" x14ac:dyDescent="0.35">
      <c r="A15" s="29" t="s">
        <v>223</v>
      </c>
      <c r="B15" s="29" t="s">
        <v>190</v>
      </c>
      <c r="C15" s="29" t="s">
        <v>85</v>
      </c>
      <c r="D15" s="29" t="s">
        <v>111</v>
      </c>
      <c r="E15" s="29" t="s">
        <v>90</v>
      </c>
      <c r="F15" s="30">
        <v>9387.6949401953898</v>
      </c>
      <c r="G15" s="30">
        <v>1787.9874857299999</v>
      </c>
      <c r="H15" s="30">
        <v>641.75868233899996</v>
      </c>
      <c r="I15" s="30">
        <v>1146.2288033909999</v>
      </c>
    </row>
    <row r="16" spans="1:9" x14ac:dyDescent="0.35">
      <c r="A16" s="29" t="s">
        <v>224</v>
      </c>
      <c r="B16" s="29" t="s">
        <v>190</v>
      </c>
      <c r="C16" s="29" t="s">
        <v>85</v>
      </c>
      <c r="D16" s="29" t="s">
        <v>111</v>
      </c>
      <c r="E16" s="29" t="s">
        <v>90</v>
      </c>
      <c r="F16" s="30">
        <v>2416.0383130160299</v>
      </c>
      <c r="G16" s="30">
        <v>114.720548909</v>
      </c>
      <c r="H16" s="30">
        <v>-34.741346613000019</v>
      </c>
      <c r="I16" s="30">
        <v>149.46189552200002</v>
      </c>
    </row>
    <row r="17" spans="1:9" x14ac:dyDescent="0.35">
      <c r="A17" s="29" t="s">
        <v>119</v>
      </c>
      <c r="B17" s="29" t="s">
        <v>120</v>
      </c>
      <c r="C17" s="29" t="s">
        <v>13</v>
      </c>
      <c r="D17" s="29" t="s">
        <v>121</v>
      </c>
      <c r="E17" s="29" t="s">
        <v>121</v>
      </c>
      <c r="F17" s="30">
        <v>723.4036745254989</v>
      </c>
      <c r="G17" s="30">
        <v>30.185348160000004</v>
      </c>
      <c r="H17" s="30">
        <v>24.734526520000003</v>
      </c>
      <c r="I17" s="30">
        <v>5.45082164</v>
      </c>
    </row>
    <row r="18" spans="1:9" x14ac:dyDescent="0.35">
      <c r="A18" s="29" t="s">
        <v>122</v>
      </c>
      <c r="B18" s="29" t="s">
        <v>120</v>
      </c>
      <c r="C18" s="29" t="s">
        <v>13</v>
      </c>
      <c r="D18" s="29" t="s">
        <v>121</v>
      </c>
      <c r="E18" s="29" t="s">
        <v>121</v>
      </c>
      <c r="F18" s="30">
        <v>12261.962121696</v>
      </c>
      <c r="G18" s="30">
        <v>270.54634277700109</v>
      </c>
      <c r="H18" s="30">
        <v>172.49690355187579</v>
      </c>
      <c r="I18" s="30">
        <v>98.049439225125298</v>
      </c>
    </row>
    <row r="19" spans="1:9" x14ac:dyDescent="0.35">
      <c r="A19" s="29" t="s">
        <v>123</v>
      </c>
      <c r="B19" s="29" t="s">
        <v>124</v>
      </c>
      <c r="C19" s="29" t="s">
        <v>42</v>
      </c>
      <c r="D19" s="29" t="s">
        <v>125</v>
      </c>
      <c r="E19" s="29" t="s">
        <v>121</v>
      </c>
      <c r="F19" s="30">
        <v>5729.516900007121</v>
      </c>
      <c r="G19" s="30">
        <v>0</v>
      </c>
      <c r="H19" s="30">
        <v>0</v>
      </c>
      <c r="I19" s="30">
        <v>0</v>
      </c>
    </row>
    <row r="20" spans="1:9" x14ac:dyDescent="0.35">
      <c r="A20" s="29" t="s">
        <v>126</v>
      </c>
      <c r="B20" s="29" t="s">
        <v>127</v>
      </c>
      <c r="C20" s="29" t="s">
        <v>128</v>
      </c>
      <c r="D20" s="29" t="s">
        <v>111</v>
      </c>
      <c r="E20" s="29" t="s">
        <v>90</v>
      </c>
      <c r="F20" s="30">
        <v>3002.6872384533403</v>
      </c>
      <c r="G20" s="30">
        <v>27.771837986999998</v>
      </c>
      <c r="H20" s="30">
        <v>-2.7008326810000014</v>
      </c>
      <c r="I20" s="30">
        <v>30.472670667999999</v>
      </c>
    </row>
    <row r="21" spans="1:9" x14ac:dyDescent="0.35">
      <c r="A21" s="29" t="s">
        <v>129</v>
      </c>
      <c r="B21" s="29" t="s">
        <v>127</v>
      </c>
      <c r="C21" s="29" t="s">
        <v>128</v>
      </c>
      <c r="D21" s="29" t="s">
        <v>111</v>
      </c>
      <c r="E21" s="29" t="s">
        <v>90</v>
      </c>
      <c r="F21" s="30">
        <v>6223.6913026767397</v>
      </c>
      <c r="G21" s="30">
        <v>16.918373171999999</v>
      </c>
      <c r="H21" s="30">
        <v>-25.654443633999993</v>
      </c>
      <c r="I21" s="30">
        <v>42.572816805999992</v>
      </c>
    </row>
    <row r="22" spans="1:9" x14ac:dyDescent="0.35">
      <c r="A22" s="29" t="s">
        <v>225</v>
      </c>
      <c r="B22" s="29" t="s">
        <v>176</v>
      </c>
      <c r="C22" s="29" t="s">
        <v>121</v>
      </c>
      <c r="D22" s="29" t="s">
        <v>121</v>
      </c>
      <c r="E22" s="29" t="s">
        <v>121</v>
      </c>
      <c r="F22" s="30">
        <v>129.865820255996</v>
      </c>
      <c r="G22" s="30">
        <v>1.7958720189999999</v>
      </c>
      <c r="H22" s="30">
        <v>1.0157069242576</v>
      </c>
      <c r="I22" s="30">
        <v>0.78016509474239992</v>
      </c>
    </row>
    <row r="23" spans="1:9" x14ac:dyDescent="0.35">
      <c r="A23" s="29" t="s">
        <v>226</v>
      </c>
      <c r="B23" s="29" t="s">
        <v>176</v>
      </c>
      <c r="C23" s="29" t="s">
        <v>121</v>
      </c>
      <c r="D23" s="29" t="s">
        <v>121</v>
      </c>
      <c r="E23" s="29" t="s">
        <v>121</v>
      </c>
      <c r="F23" s="30">
        <v>1106.1575942811899</v>
      </c>
      <c r="G23" s="30">
        <v>21.632841685000113</v>
      </c>
      <c r="H23" s="30">
        <v>13.879220694742513</v>
      </c>
      <c r="I23" s="30">
        <v>7.7536209902576001</v>
      </c>
    </row>
    <row r="24" spans="1:9" x14ac:dyDescent="0.35">
      <c r="A24" s="29" t="s">
        <v>132</v>
      </c>
      <c r="B24" s="29" t="s">
        <v>133</v>
      </c>
      <c r="C24" s="29" t="s">
        <v>128</v>
      </c>
      <c r="D24" s="29" t="s">
        <v>111</v>
      </c>
      <c r="E24" s="29" t="s">
        <v>90</v>
      </c>
      <c r="F24" s="30">
        <v>4548.4892027416299</v>
      </c>
      <c r="G24" s="30">
        <v>129.99367152399998</v>
      </c>
      <c r="H24" s="30">
        <v>75.148662750999989</v>
      </c>
      <c r="I24" s="30">
        <v>54.845008772999996</v>
      </c>
    </row>
    <row r="25" spans="1:9" x14ac:dyDescent="0.35">
      <c r="A25" s="29" t="s">
        <v>134</v>
      </c>
      <c r="B25" s="29" t="s">
        <v>133</v>
      </c>
      <c r="C25" s="29" t="s">
        <v>128</v>
      </c>
      <c r="D25" s="29" t="s">
        <v>111</v>
      </c>
      <c r="E25" s="29" t="s">
        <v>90</v>
      </c>
      <c r="F25" s="30">
        <v>6267.5534321580108</v>
      </c>
      <c r="G25" s="30">
        <v>25.534095879999999</v>
      </c>
      <c r="H25" s="30">
        <v>-65.098545386000112</v>
      </c>
      <c r="I25" s="30">
        <v>90.632641266000107</v>
      </c>
    </row>
    <row r="26" spans="1:9" x14ac:dyDescent="0.35">
      <c r="A26" s="29" t="s">
        <v>140</v>
      </c>
      <c r="B26" s="29" t="s">
        <v>141</v>
      </c>
      <c r="C26" s="29" t="s">
        <v>121</v>
      </c>
      <c r="D26" s="29" t="s">
        <v>121</v>
      </c>
      <c r="E26" s="29" t="s">
        <v>121</v>
      </c>
      <c r="F26" s="30">
        <v>46.6911779421022</v>
      </c>
      <c r="G26" s="30">
        <v>0.51000272199999996</v>
      </c>
      <c r="H26" s="30">
        <v>-0.22217384560081999</v>
      </c>
      <c r="I26" s="30">
        <v>0.73217656760081995</v>
      </c>
    </row>
    <row r="27" spans="1:9" x14ac:dyDescent="0.35">
      <c r="A27" s="29" t="s">
        <v>142</v>
      </c>
      <c r="B27" s="29" t="s">
        <v>141</v>
      </c>
      <c r="C27" s="29" t="s">
        <v>121</v>
      </c>
      <c r="D27" s="29" t="s">
        <v>121</v>
      </c>
      <c r="E27" s="29" t="s">
        <v>121</v>
      </c>
      <c r="F27" s="30">
        <v>1660.4090724538601</v>
      </c>
      <c r="G27" s="30">
        <v>9.1733417099999901</v>
      </c>
      <c r="H27" s="30">
        <v>-43.146293533036811</v>
      </c>
      <c r="I27" s="30">
        <v>52.319635243036799</v>
      </c>
    </row>
    <row r="28" spans="1:9" x14ac:dyDescent="0.35">
      <c r="A28" s="29" t="s">
        <v>227</v>
      </c>
      <c r="B28" s="29" t="s">
        <v>143</v>
      </c>
      <c r="C28" s="29" t="s">
        <v>121</v>
      </c>
      <c r="D28" s="29" t="s">
        <v>121</v>
      </c>
      <c r="E28" s="29" t="s">
        <v>121</v>
      </c>
      <c r="F28" s="30">
        <v>1891.28632223421</v>
      </c>
      <c r="G28" s="30">
        <v>35.903443377000002</v>
      </c>
      <c r="H28" s="30">
        <v>22.679919499430504</v>
      </c>
      <c r="I28" s="30">
        <v>13.2235238775695</v>
      </c>
    </row>
    <row r="29" spans="1:9" x14ac:dyDescent="0.35">
      <c r="A29" s="29" t="s">
        <v>228</v>
      </c>
      <c r="B29" s="29" t="s">
        <v>143</v>
      </c>
      <c r="C29" s="29" t="s">
        <v>121</v>
      </c>
      <c r="D29" s="29" t="s">
        <v>121</v>
      </c>
      <c r="E29" s="29" t="s">
        <v>121</v>
      </c>
      <c r="F29" s="30">
        <v>16001.4273871936</v>
      </c>
      <c r="G29" s="30">
        <v>308.96257458098751</v>
      </c>
      <c r="H29" s="30">
        <v>199.42398496855691</v>
      </c>
      <c r="I29" s="30">
        <v>109.53858961243058</v>
      </c>
    </row>
    <row r="30" spans="1:9" x14ac:dyDescent="0.35">
      <c r="A30" s="29" t="s">
        <v>144</v>
      </c>
      <c r="B30" s="29" t="s">
        <v>8</v>
      </c>
      <c r="C30" s="29" t="s">
        <v>8</v>
      </c>
      <c r="D30" s="29" t="s">
        <v>145</v>
      </c>
      <c r="E30" s="29" t="s">
        <v>121</v>
      </c>
      <c r="F30" s="30">
        <v>8142.4648080493407</v>
      </c>
      <c r="G30" s="30">
        <v>385.47843687300002</v>
      </c>
      <c r="H30" s="30">
        <v>125.32263333411805</v>
      </c>
      <c r="I30" s="30">
        <v>260.15580353888197</v>
      </c>
    </row>
    <row r="31" spans="1:9" x14ac:dyDescent="0.35">
      <c r="A31" s="29" t="s">
        <v>146</v>
      </c>
      <c r="B31" s="29" t="s">
        <v>8</v>
      </c>
      <c r="C31" s="29" t="s">
        <v>8</v>
      </c>
      <c r="D31" s="29" t="s">
        <v>145</v>
      </c>
      <c r="E31" s="29" t="s">
        <v>121</v>
      </c>
      <c r="F31" s="30">
        <v>16848.707427870402</v>
      </c>
      <c r="G31" s="30">
        <v>680.098870989999</v>
      </c>
      <c r="H31" s="30">
        <v>113.90507258588195</v>
      </c>
      <c r="I31" s="30">
        <v>566.19379840411705</v>
      </c>
    </row>
    <row r="32" spans="1:9" x14ac:dyDescent="0.35">
      <c r="A32" s="29" t="s">
        <v>147</v>
      </c>
      <c r="B32" s="29" t="s">
        <v>117</v>
      </c>
      <c r="C32" s="29" t="s">
        <v>118</v>
      </c>
      <c r="D32" s="29" t="s">
        <v>111</v>
      </c>
      <c r="E32" s="29" t="s">
        <v>90</v>
      </c>
      <c r="F32" s="30">
        <v>97.791586114491494</v>
      </c>
      <c r="G32" s="30">
        <v>2.1747005119999998</v>
      </c>
      <c r="H32" s="30">
        <v>1.6956197749999997</v>
      </c>
      <c r="I32" s="30">
        <v>0.47908073700000003</v>
      </c>
    </row>
    <row r="33" spans="1:9" x14ac:dyDescent="0.35">
      <c r="A33" s="29" t="s">
        <v>148</v>
      </c>
      <c r="B33" s="29" t="s">
        <v>117</v>
      </c>
      <c r="C33" s="29" t="s">
        <v>118</v>
      </c>
      <c r="D33" s="29" t="s">
        <v>111</v>
      </c>
      <c r="E33" s="29" t="s">
        <v>90</v>
      </c>
      <c r="F33" s="30">
        <v>482.96904098788798</v>
      </c>
      <c r="G33" s="30">
        <v>17.824283153</v>
      </c>
      <c r="H33" s="30">
        <v>15.71577607</v>
      </c>
      <c r="I33" s="30">
        <v>2.1085070830000001</v>
      </c>
    </row>
    <row r="34" spans="1:9" x14ac:dyDescent="0.35">
      <c r="A34" s="29" t="s">
        <v>152</v>
      </c>
      <c r="B34" s="29" t="s">
        <v>153</v>
      </c>
      <c r="C34" s="29" t="s">
        <v>154</v>
      </c>
      <c r="D34" s="29" t="s">
        <v>145</v>
      </c>
      <c r="E34" s="29" t="s">
        <v>121</v>
      </c>
      <c r="F34" s="30">
        <v>91.224003081090302</v>
      </c>
      <c r="G34" s="30">
        <v>5.7054168389999997</v>
      </c>
      <c r="H34" s="30">
        <v>4.793694576</v>
      </c>
      <c r="I34" s="30">
        <v>0.91172226299999992</v>
      </c>
    </row>
    <row r="35" spans="1:9" x14ac:dyDescent="0.35">
      <c r="A35" s="29" t="s">
        <v>155</v>
      </c>
      <c r="B35" s="29" t="s">
        <v>153</v>
      </c>
      <c r="C35" s="29" t="s">
        <v>154</v>
      </c>
      <c r="D35" s="29" t="s">
        <v>145</v>
      </c>
      <c r="E35" s="29" t="s">
        <v>121</v>
      </c>
      <c r="F35" s="30">
        <v>1616.7095466369601</v>
      </c>
      <c r="G35" s="30">
        <v>29.890704828999997</v>
      </c>
      <c r="H35" s="30">
        <v>20.077408000999995</v>
      </c>
      <c r="I35" s="30">
        <v>9.8132968280000004</v>
      </c>
    </row>
    <row r="36" spans="1:9" x14ac:dyDescent="0.35">
      <c r="A36" s="29" t="s">
        <v>229</v>
      </c>
      <c r="B36" s="29" t="s">
        <v>157</v>
      </c>
      <c r="C36" s="29" t="s">
        <v>51</v>
      </c>
      <c r="D36" s="29" t="s">
        <v>51</v>
      </c>
      <c r="E36" s="29" t="s">
        <v>90</v>
      </c>
      <c r="F36" s="30">
        <v>215.69178232098</v>
      </c>
      <c r="G36" s="30">
        <v>0</v>
      </c>
      <c r="H36" s="30">
        <v>0</v>
      </c>
      <c r="I36" s="30">
        <v>0</v>
      </c>
    </row>
    <row r="37" spans="1:9" x14ac:dyDescent="0.35">
      <c r="A37" s="29" t="s">
        <v>230</v>
      </c>
      <c r="B37" s="29" t="s">
        <v>157</v>
      </c>
      <c r="C37" s="29" t="s">
        <v>51</v>
      </c>
      <c r="D37" s="29" t="s">
        <v>51</v>
      </c>
      <c r="E37" s="29" t="s">
        <v>90</v>
      </c>
      <c r="F37" s="30">
        <v>43.094253685000005</v>
      </c>
      <c r="G37" s="30">
        <v>0</v>
      </c>
      <c r="H37" s="30">
        <v>0</v>
      </c>
      <c r="I37" s="30">
        <v>0</v>
      </c>
    </row>
    <row r="38" spans="1:9" x14ac:dyDescent="0.35">
      <c r="A38" s="29" t="s">
        <v>231</v>
      </c>
      <c r="B38" s="29" t="s">
        <v>157</v>
      </c>
      <c r="C38" s="29" t="s">
        <v>51</v>
      </c>
      <c r="D38" s="29" t="s">
        <v>51</v>
      </c>
      <c r="E38" s="29" t="s">
        <v>90</v>
      </c>
      <c r="F38" s="30">
        <v>65.35378450684</v>
      </c>
      <c r="G38" s="30">
        <v>0</v>
      </c>
      <c r="H38" s="30">
        <v>0</v>
      </c>
      <c r="I38" s="30">
        <v>0</v>
      </c>
    </row>
    <row r="39" spans="1:9" x14ac:dyDescent="0.35">
      <c r="A39" s="29" t="s">
        <v>232</v>
      </c>
      <c r="B39" s="29" t="s">
        <v>157</v>
      </c>
      <c r="C39" s="29" t="s">
        <v>51</v>
      </c>
      <c r="D39" s="29" t="s">
        <v>51</v>
      </c>
      <c r="E39" s="29" t="s">
        <v>90</v>
      </c>
      <c r="F39" s="30">
        <v>730.77026994303901</v>
      </c>
      <c r="G39" s="30">
        <v>0</v>
      </c>
      <c r="H39" s="30">
        <v>0</v>
      </c>
      <c r="I39" s="30">
        <v>0</v>
      </c>
    </row>
    <row r="40" spans="1:9" x14ac:dyDescent="0.35">
      <c r="A40" s="29" t="s">
        <v>233</v>
      </c>
      <c r="B40" s="29" t="s">
        <v>157</v>
      </c>
      <c r="C40" s="29" t="s">
        <v>51</v>
      </c>
      <c r="D40" s="29" t="s">
        <v>51</v>
      </c>
      <c r="E40" s="29" t="s">
        <v>90</v>
      </c>
      <c r="F40" s="30">
        <v>405.779122368</v>
      </c>
      <c r="G40" s="30">
        <v>0</v>
      </c>
      <c r="H40" s="30">
        <v>0</v>
      </c>
      <c r="I40" s="30">
        <v>0</v>
      </c>
    </row>
    <row r="41" spans="1:9" x14ac:dyDescent="0.35">
      <c r="A41" s="29" t="s">
        <v>234</v>
      </c>
      <c r="B41" s="29" t="s">
        <v>157</v>
      </c>
      <c r="C41" s="29" t="s">
        <v>51</v>
      </c>
      <c r="D41" s="29" t="s">
        <v>51</v>
      </c>
      <c r="E41" s="29" t="s">
        <v>90</v>
      </c>
      <c r="F41" s="30">
        <v>159.89249686763</v>
      </c>
      <c r="G41" s="30">
        <v>0</v>
      </c>
      <c r="H41" s="30">
        <v>0</v>
      </c>
      <c r="I41" s="30">
        <v>0</v>
      </c>
    </row>
    <row r="42" spans="1:9" x14ac:dyDescent="0.35">
      <c r="A42" s="29" t="s">
        <v>235</v>
      </c>
      <c r="B42" s="29" t="s">
        <v>157</v>
      </c>
      <c r="C42" s="29" t="s">
        <v>51</v>
      </c>
      <c r="D42" s="29" t="s">
        <v>51</v>
      </c>
      <c r="E42" s="29" t="s">
        <v>90</v>
      </c>
      <c r="F42" s="30">
        <v>61.107343713999995</v>
      </c>
      <c r="G42" s="30">
        <v>0</v>
      </c>
      <c r="H42" s="30">
        <v>0</v>
      </c>
      <c r="I42" s="30">
        <v>0</v>
      </c>
    </row>
    <row r="43" spans="1:9" x14ac:dyDescent="0.35">
      <c r="A43" s="29" t="s">
        <v>236</v>
      </c>
      <c r="B43" s="29" t="s">
        <v>157</v>
      </c>
      <c r="C43" s="29" t="s">
        <v>51</v>
      </c>
      <c r="D43" s="29" t="s">
        <v>51</v>
      </c>
      <c r="E43" s="29" t="s">
        <v>90</v>
      </c>
      <c r="F43" s="30">
        <v>83.941305809869988</v>
      </c>
      <c r="G43" s="30">
        <v>0</v>
      </c>
      <c r="H43" s="30">
        <v>0</v>
      </c>
      <c r="I43" s="30">
        <v>0</v>
      </c>
    </row>
    <row r="44" spans="1:9" x14ac:dyDescent="0.35">
      <c r="A44" s="29" t="s">
        <v>237</v>
      </c>
      <c r="B44" s="29" t="s">
        <v>157</v>
      </c>
      <c r="C44" s="29" t="s">
        <v>51</v>
      </c>
      <c r="D44" s="29" t="s">
        <v>51</v>
      </c>
      <c r="E44" s="29" t="s">
        <v>90</v>
      </c>
      <c r="F44" s="30">
        <v>60.067190680000003</v>
      </c>
      <c r="G44" s="30">
        <v>0</v>
      </c>
      <c r="H44" s="30">
        <v>0</v>
      </c>
      <c r="I44" s="30">
        <v>0</v>
      </c>
    </row>
    <row r="45" spans="1:9" x14ac:dyDescent="0.35">
      <c r="A45" s="29" t="s">
        <v>238</v>
      </c>
      <c r="B45" s="29" t="s">
        <v>157</v>
      </c>
      <c r="C45" s="29" t="s">
        <v>51</v>
      </c>
      <c r="D45" s="29" t="s">
        <v>51</v>
      </c>
      <c r="E45" s="29" t="s">
        <v>90</v>
      </c>
      <c r="F45" s="30">
        <v>104.89161022253001</v>
      </c>
      <c r="G45" s="30">
        <v>0</v>
      </c>
      <c r="H45" s="30">
        <v>0</v>
      </c>
      <c r="I45" s="30">
        <v>0</v>
      </c>
    </row>
    <row r="46" spans="1:9" x14ac:dyDescent="0.35">
      <c r="A46" s="29" t="s">
        <v>239</v>
      </c>
      <c r="B46" s="29" t="s">
        <v>157</v>
      </c>
      <c r="C46" s="29" t="s">
        <v>51</v>
      </c>
      <c r="D46" s="29" t="s">
        <v>51</v>
      </c>
      <c r="E46" s="29" t="s">
        <v>90</v>
      </c>
      <c r="F46" s="30">
        <v>65.131885985099998</v>
      </c>
      <c r="G46" s="30">
        <v>0</v>
      </c>
      <c r="H46" s="30">
        <v>0</v>
      </c>
      <c r="I46" s="30">
        <v>0</v>
      </c>
    </row>
    <row r="47" spans="1:9" x14ac:dyDescent="0.35">
      <c r="A47" s="29" t="s">
        <v>240</v>
      </c>
      <c r="B47" s="29" t="s">
        <v>157</v>
      </c>
      <c r="C47" s="29" t="s">
        <v>51</v>
      </c>
      <c r="D47" s="29" t="s">
        <v>51</v>
      </c>
      <c r="E47" s="29" t="s">
        <v>90</v>
      </c>
      <c r="F47" s="30">
        <v>44.191939960700005</v>
      </c>
      <c r="G47" s="30">
        <v>0</v>
      </c>
      <c r="H47" s="30">
        <v>0</v>
      </c>
      <c r="I47" s="30">
        <v>0</v>
      </c>
    </row>
    <row r="48" spans="1:9" x14ac:dyDescent="0.35">
      <c r="A48" s="29" t="s">
        <v>241</v>
      </c>
      <c r="B48" s="29" t="s">
        <v>157</v>
      </c>
      <c r="C48" s="29" t="s">
        <v>51</v>
      </c>
      <c r="D48" s="29" t="s">
        <v>51</v>
      </c>
      <c r="E48" s="29" t="s">
        <v>90</v>
      </c>
      <c r="F48" s="30">
        <v>385.70795539397</v>
      </c>
      <c r="G48" s="30">
        <v>0</v>
      </c>
      <c r="H48" s="30">
        <v>0</v>
      </c>
      <c r="I48" s="30">
        <v>0</v>
      </c>
    </row>
    <row r="49" spans="1:9" x14ac:dyDescent="0.35">
      <c r="A49" s="29" t="s">
        <v>242</v>
      </c>
      <c r="B49" s="29" t="s">
        <v>157</v>
      </c>
      <c r="C49" s="29" t="s">
        <v>51</v>
      </c>
      <c r="D49" s="29" t="s">
        <v>51</v>
      </c>
      <c r="E49" s="29" t="s">
        <v>90</v>
      </c>
      <c r="F49" s="30">
        <v>365.64810525777995</v>
      </c>
      <c r="G49" s="30">
        <v>0</v>
      </c>
      <c r="H49" s="30">
        <v>0</v>
      </c>
      <c r="I49" s="30">
        <v>0</v>
      </c>
    </row>
    <row r="50" spans="1:9" x14ac:dyDescent="0.35">
      <c r="A50" s="29" t="s">
        <v>243</v>
      </c>
      <c r="B50" s="29" t="s">
        <v>157</v>
      </c>
      <c r="C50" s="29" t="s">
        <v>51</v>
      </c>
      <c r="D50" s="29" t="s">
        <v>51</v>
      </c>
      <c r="E50" s="29" t="s">
        <v>90</v>
      </c>
      <c r="F50" s="30">
        <v>1176.27680415294</v>
      </c>
      <c r="G50" s="30">
        <v>0</v>
      </c>
      <c r="H50" s="30">
        <v>0</v>
      </c>
      <c r="I50" s="30">
        <v>0</v>
      </c>
    </row>
    <row r="51" spans="1:9" x14ac:dyDescent="0.35">
      <c r="A51" s="29" t="s">
        <v>244</v>
      </c>
      <c r="B51" s="29" t="s">
        <v>157</v>
      </c>
      <c r="C51" s="29" t="s">
        <v>51</v>
      </c>
      <c r="D51" s="29" t="s">
        <v>51</v>
      </c>
      <c r="E51" s="29" t="s">
        <v>90</v>
      </c>
      <c r="F51" s="30">
        <v>192.39324371408998</v>
      </c>
      <c r="G51" s="30">
        <v>0</v>
      </c>
      <c r="H51" s="30">
        <v>0</v>
      </c>
      <c r="I51" s="30">
        <v>0</v>
      </c>
    </row>
    <row r="52" spans="1:9" x14ac:dyDescent="0.35">
      <c r="A52" s="29" t="s">
        <v>245</v>
      </c>
      <c r="B52" s="29" t="s">
        <v>157</v>
      </c>
      <c r="C52" s="29" t="s">
        <v>51</v>
      </c>
      <c r="D52" s="29" t="s">
        <v>51</v>
      </c>
      <c r="E52" s="29" t="s">
        <v>90</v>
      </c>
      <c r="F52" s="30">
        <v>256.03571242788001</v>
      </c>
      <c r="G52" s="30">
        <v>0</v>
      </c>
      <c r="H52" s="30">
        <v>0</v>
      </c>
      <c r="I52" s="30">
        <v>0</v>
      </c>
    </row>
    <row r="53" spans="1:9" x14ac:dyDescent="0.35">
      <c r="A53" s="29" t="s">
        <v>246</v>
      </c>
      <c r="B53" s="29" t="s">
        <v>157</v>
      </c>
      <c r="C53" s="29" t="s">
        <v>51</v>
      </c>
      <c r="D53" s="29" t="s">
        <v>51</v>
      </c>
      <c r="E53" s="29" t="s">
        <v>90</v>
      </c>
      <c r="F53" s="30">
        <v>28.241626225000001</v>
      </c>
      <c r="G53" s="30">
        <v>0</v>
      </c>
      <c r="H53" s="30">
        <v>0</v>
      </c>
      <c r="I53" s="30">
        <v>0</v>
      </c>
    </row>
    <row r="54" spans="1:9" x14ac:dyDescent="0.35">
      <c r="A54" s="29" t="s">
        <v>247</v>
      </c>
      <c r="B54" s="29" t="s">
        <v>157</v>
      </c>
      <c r="C54" s="29" t="s">
        <v>51</v>
      </c>
      <c r="D54" s="29" t="s">
        <v>51</v>
      </c>
      <c r="E54" s="29" t="s">
        <v>90</v>
      </c>
      <c r="F54" s="30">
        <v>221.24609602650003</v>
      </c>
      <c r="G54" s="30">
        <v>0</v>
      </c>
      <c r="H54" s="30">
        <v>0</v>
      </c>
      <c r="I54" s="30">
        <v>0</v>
      </c>
    </row>
    <row r="55" spans="1:9" x14ac:dyDescent="0.35">
      <c r="A55" s="29" t="s">
        <v>248</v>
      </c>
      <c r="B55" s="29" t="s">
        <v>157</v>
      </c>
      <c r="C55" s="29" t="s">
        <v>51</v>
      </c>
      <c r="D55" s="29" t="s">
        <v>51</v>
      </c>
      <c r="E55" s="29" t="s">
        <v>90</v>
      </c>
      <c r="F55" s="30">
        <v>85.802423048400001</v>
      </c>
      <c r="G55" s="30">
        <v>0</v>
      </c>
      <c r="H55" s="30">
        <v>0</v>
      </c>
      <c r="I55" s="30">
        <v>0</v>
      </c>
    </row>
    <row r="56" spans="1:9" x14ac:dyDescent="0.35">
      <c r="A56" s="29" t="s">
        <v>249</v>
      </c>
      <c r="B56" s="29" t="s">
        <v>157</v>
      </c>
      <c r="C56" s="29" t="s">
        <v>51</v>
      </c>
      <c r="D56" s="29" t="s">
        <v>51</v>
      </c>
      <c r="E56" s="29" t="s">
        <v>90</v>
      </c>
      <c r="F56" s="30">
        <v>90.08410529999999</v>
      </c>
      <c r="G56" s="30">
        <v>0</v>
      </c>
      <c r="H56" s="30">
        <v>0</v>
      </c>
      <c r="I56" s="30">
        <v>0</v>
      </c>
    </row>
    <row r="57" spans="1:9" x14ac:dyDescent="0.35">
      <c r="A57" s="29" t="s">
        <v>250</v>
      </c>
      <c r="B57" s="29" t="s">
        <v>157</v>
      </c>
      <c r="C57" s="29" t="s">
        <v>51</v>
      </c>
      <c r="D57" s="29" t="s">
        <v>51</v>
      </c>
      <c r="E57" s="29" t="s">
        <v>90</v>
      </c>
      <c r="F57" s="30">
        <v>41.313650872930005</v>
      </c>
      <c r="G57" s="30">
        <v>0</v>
      </c>
      <c r="H57" s="30">
        <v>0</v>
      </c>
      <c r="I57" s="30">
        <v>0</v>
      </c>
    </row>
    <row r="58" spans="1:9" x14ac:dyDescent="0.35">
      <c r="A58" s="29" t="s">
        <v>251</v>
      </c>
      <c r="B58" s="29" t="s">
        <v>157</v>
      </c>
      <c r="C58" s="29" t="s">
        <v>51</v>
      </c>
      <c r="D58" s="29" t="s">
        <v>51</v>
      </c>
      <c r="E58" s="29" t="s">
        <v>90</v>
      </c>
      <c r="F58" s="30">
        <v>18.11136259365</v>
      </c>
      <c r="G58" s="30">
        <v>0</v>
      </c>
      <c r="H58" s="30">
        <v>0</v>
      </c>
      <c r="I58" s="30">
        <v>0</v>
      </c>
    </row>
    <row r="59" spans="1:9" x14ac:dyDescent="0.35">
      <c r="A59" s="29" t="s">
        <v>252</v>
      </c>
      <c r="B59" s="29" t="s">
        <v>157</v>
      </c>
      <c r="C59" s="29" t="s">
        <v>51</v>
      </c>
      <c r="D59" s="29" t="s">
        <v>51</v>
      </c>
      <c r="E59" s="29" t="s">
        <v>90</v>
      </c>
      <c r="F59" s="30">
        <v>38.393726367919996</v>
      </c>
      <c r="G59" s="30">
        <v>0</v>
      </c>
      <c r="H59" s="30">
        <v>0</v>
      </c>
      <c r="I59" s="30">
        <v>0</v>
      </c>
    </row>
    <row r="60" spans="1:9" x14ac:dyDescent="0.35">
      <c r="A60" s="29" t="s">
        <v>253</v>
      </c>
      <c r="B60" s="29" t="s">
        <v>157</v>
      </c>
      <c r="C60" s="29" t="s">
        <v>51</v>
      </c>
      <c r="D60" s="29" t="s">
        <v>51</v>
      </c>
      <c r="E60" s="29" t="s">
        <v>90</v>
      </c>
      <c r="F60" s="30">
        <v>14.788260206</v>
      </c>
      <c r="G60" s="30">
        <v>0</v>
      </c>
      <c r="H60" s="30">
        <v>0</v>
      </c>
      <c r="I60" s="30">
        <v>0</v>
      </c>
    </row>
    <row r="61" spans="1:9" x14ac:dyDescent="0.35">
      <c r="A61" s="29" t="s">
        <v>254</v>
      </c>
      <c r="B61" s="29" t="s">
        <v>157</v>
      </c>
      <c r="C61" s="29" t="s">
        <v>51</v>
      </c>
      <c r="D61" s="29" t="s">
        <v>51</v>
      </c>
      <c r="E61" s="29" t="s">
        <v>90</v>
      </c>
      <c r="F61" s="30">
        <v>36.982938271320002</v>
      </c>
      <c r="G61" s="30">
        <v>0</v>
      </c>
      <c r="H61" s="30">
        <v>0</v>
      </c>
      <c r="I61" s="30">
        <v>0</v>
      </c>
    </row>
    <row r="62" spans="1:9" x14ac:dyDescent="0.35">
      <c r="A62" s="29" t="s">
        <v>255</v>
      </c>
      <c r="B62" s="29" t="s">
        <v>157</v>
      </c>
      <c r="C62" s="29" t="s">
        <v>51</v>
      </c>
      <c r="D62" s="29" t="s">
        <v>51</v>
      </c>
      <c r="E62" s="29" t="s">
        <v>90</v>
      </c>
      <c r="F62" s="30">
        <v>198.20125247999999</v>
      </c>
      <c r="G62" s="30">
        <v>0</v>
      </c>
      <c r="H62" s="30">
        <v>0</v>
      </c>
      <c r="I62" s="30">
        <v>0</v>
      </c>
    </row>
    <row r="63" spans="1:9" x14ac:dyDescent="0.35">
      <c r="A63" s="29" t="s">
        <v>256</v>
      </c>
      <c r="B63" s="29" t="s">
        <v>157</v>
      </c>
      <c r="C63" s="29" t="s">
        <v>51</v>
      </c>
      <c r="D63" s="29" t="s">
        <v>51</v>
      </c>
      <c r="E63" s="29" t="s">
        <v>90</v>
      </c>
      <c r="F63" s="30">
        <v>6.7743416299800003</v>
      </c>
      <c r="G63" s="30">
        <v>0</v>
      </c>
      <c r="H63" s="30">
        <v>0</v>
      </c>
      <c r="I63" s="30">
        <v>0</v>
      </c>
    </row>
    <row r="64" spans="1:9" x14ac:dyDescent="0.35">
      <c r="A64" s="29" t="s">
        <v>257</v>
      </c>
      <c r="B64" s="29" t="s">
        <v>157</v>
      </c>
      <c r="C64" s="29" t="s">
        <v>51</v>
      </c>
      <c r="D64" s="29" t="s">
        <v>51</v>
      </c>
      <c r="E64" s="29" t="s">
        <v>90</v>
      </c>
      <c r="F64" s="30">
        <v>42.664193054999998</v>
      </c>
      <c r="G64" s="30">
        <v>0</v>
      </c>
      <c r="H64" s="30">
        <v>0</v>
      </c>
      <c r="I64" s="30">
        <v>0</v>
      </c>
    </row>
    <row r="65" spans="1:9" x14ac:dyDescent="0.35">
      <c r="A65" s="29" t="s">
        <v>258</v>
      </c>
      <c r="B65" s="29" t="s">
        <v>157</v>
      </c>
      <c r="C65" s="29" t="s">
        <v>51</v>
      </c>
      <c r="D65" s="29" t="s">
        <v>51</v>
      </c>
      <c r="E65" s="29" t="s">
        <v>90</v>
      </c>
      <c r="F65" s="30">
        <v>35.519333010479997</v>
      </c>
      <c r="G65" s="30">
        <v>0</v>
      </c>
      <c r="H65" s="30">
        <v>0</v>
      </c>
      <c r="I65" s="30">
        <v>0</v>
      </c>
    </row>
    <row r="66" spans="1:9" x14ac:dyDescent="0.35">
      <c r="A66" s="29" t="s">
        <v>259</v>
      </c>
      <c r="B66" s="29" t="s">
        <v>157</v>
      </c>
      <c r="C66" s="29" t="s">
        <v>51</v>
      </c>
      <c r="D66" s="29" t="s">
        <v>51</v>
      </c>
      <c r="E66" s="29" t="s">
        <v>90</v>
      </c>
      <c r="F66" s="30">
        <v>82.629105678720009</v>
      </c>
      <c r="G66" s="30">
        <v>0</v>
      </c>
      <c r="H66" s="30">
        <v>0</v>
      </c>
      <c r="I66" s="30">
        <v>0</v>
      </c>
    </row>
    <row r="67" spans="1:9" x14ac:dyDescent="0.35">
      <c r="A67" s="29" t="s">
        <v>260</v>
      </c>
      <c r="B67" s="29" t="s">
        <v>157</v>
      </c>
      <c r="C67" s="29" t="s">
        <v>51</v>
      </c>
      <c r="D67" s="29" t="s">
        <v>51</v>
      </c>
      <c r="E67" s="29" t="s">
        <v>90</v>
      </c>
      <c r="F67" s="30">
        <v>25.312592208649999</v>
      </c>
      <c r="G67" s="30">
        <v>0</v>
      </c>
      <c r="H67" s="30">
        <v>0</v>
      </c>
      <c r="I67" s="30">
        <v>0</v>
      </c>
    </row>
    <row r="68" spans="1:9" x14ac:dyDescent="0.35">
      <c r="A68" s="29" t="s">
        <v>261</v>
      </c>
      <c r="B68" s="29" t="s">
        <v>157</v>
      </c>
      <c r="C68" s="29" t="s">
        <v>51</v>
      </c>
      <c r="D68" s="29" t="s">
        <v>51</v>
      </c>
      <c r="E68" s="29" t="s">
        <v>90</v>
      </c>
      <c r="F68" s="30">
        <v>213.42384126223999</v>
      </c>
      <c r="G68" s="30">
        <v>0</v>
      </c>
      <c r="H68" s="30">
        <v>0</v>
      </c>
      <c r="I68" s="30">
        <v>0</v>
      </c>
    </row>
    <row r="69" spans="1:9" x14ac:dyDescent="0.35">
      <c r="A69" s="29" t="s">
        <v>262</v>
      </c>
      <c r="B69" s="29" t="s">
        <v>157</v>
      </c>
      <c r="C69" s="29" t="s">
        <v>51</v>
      </c>
      <c r="D69" s="29" t="s">
        <v>51</v>
      </c>
      <c r="E69" s="29" t="s">
        <v>90</v>
      </c>
      <c r="F69" s="30">
        <v>28.362468505480003</v>
      </c>
      <c r="G69" s="30">
        <v>0</v>
      </c>
      <c r="H69" s="30">
        <v>0</v>
      </c>
      <c r="I69" s="30">
        <v>0</v>
      </c>
    </row>
    <row r="70" spans="1:9" x14ac:dyDescent="0.35">
      <c r="A70" s="29" t="s">
        <v>263</v>
      </c>
      <c r="B70" s="29" t="s">
        <v>157</v>
      </c>
      <c r="C70" s="29" t="s">
        <v>51</v>
      </c>
      <c r="D70" s="29" t="s">
        <v>51</v>
      </c>
      <c r="E70" s="29" t="s">
        <v>90</v>
      </c>
      <c r="F70" s="30">
        <v>224.69213779999998</v>
      </c>
      <c r="G70" s="30">
        <v>0</v>
      </c>
      <c r="H70" s="30">
        <v>0</v>
      </c>
      <c r="I70" s="30">
        <v>0</v>
      </c>
    </row>
    <row r="71" spans="1:9" x14ac:dyDescent="0.35">
      <c r="A71" s="29" t="s">
        <v>264</v>
      </c>
      <c r="B71" s="29" t="s">
        <v>157</v>
      </c>
      <c r="C71" s="29" t="s">
        <v>51</v>
      </c>
      <c r="D71" s="29" t="s">
        <v>51</v>
      </c>
      <c r="E71" s="29" t="s">
        <v>90</v>
      </c>
      <c r="F71" s="30">
        <v>116.29851351089999</v>
      </c>
      <c r="G71" s="30">
        <v>0</v>
      </c>
      <c r="H71" s="30">
        <v>0</v>
      </c>
      <c r="I71" s="30">
        <v>0</v>
      </c>
    </row>
    <row r="72" spans="1:9" x14ac:dyDescent="0.35">
      <c r="A72" s="29" t="s">
        <v>156</v>
      </c>
      <c r="B72" s="29" t="s">
        <v>157</v>
      </c>
      <c r="C72" s="29" t="s">
        <v>51</v>
      </c>
      <c r="D72" s="29" t="s">
        <v>51</v>
      </c>
      <c r="E72" s="29" t="s">
        <v>90</v>
      </c>
      <c r="F72" s="30">
        <v>323.14661012046201</v>
      </c>
      <c r="G72" s="30">
        <v>0</v>
      </c>
      <c r="H72" s="30">
        <v>0</v>
      </c>
      <c r="I72" s="30">
        <v>0</v>
      </c>
    </row>
    <row r="73" spans="1:9" x14ac:dyDescent="0.35">
      <c r="A73" s="29" t="s">
        <v>158</v>
      </c>
      <c r="B73" s="29" t="s">
        <v>157</v>
      </c>
      <c r="C73" s="29" t="s">
        <v>51</v>
      </c>
      <c r="D73" s="29" t="s">
        <v>51</v>
      </c>
      <c r="E73" s="29" t="s">
        <v>90</v>
      </c>
      <c r="F73" s="30">
        <v>49.328499000151297</v>
      </c>
      <c r="G73" s="30">
        <v>0</v>
      </c>
      <c r="H73" s="30">
        <v>0</v>
      </c>
      <c r="I73" s="30">
        <v>0</v>
      </c>
    </row>
    <row r="74" spans="1:9" x14ac:dyDescent="0.35">
      <c r="A74" s="29" t="s">
        <v>265</v>
      </c>
      <c r="B74" s="29" t="s">
        <v>139</v>
      </c>
      <c r="C74" s="29" t="s">
        <v>110</v>
      </c>
      <c r="D74" s="29" t="s">
        <v>111</v>
      </c>
      <c r="E74" s="29" t="s">
        <v>90</v>
      </c>
      <c r="F74" s="30">
        <v>665.11761310866098</v>
      </c>
      <c r="G74" s="30">
        <v>3.9339333320000005</v>
      </c>
      <c r="H74" s="30">
        <v>-3.3966853339999998</v>
      </c>
      <c r="I74" s="30">
        <v>7.3306186660000003</v>
      </c>
    </row>
    <row r="75" spans="1:9" x14ac:dyDescent="0.35">
      <c r="A75" s="29" t="s">
        <v>266</v>
      </c>
      <c r="B75" s="29" t="s">
        <v>139</v>
      </c>
      <c r="C75" s="29" t="s">
        <v>110</v>
      </c>
      <c r="D75" s="29" t="s">
        <v>111</v>
      </c>
      <c r="E75" s="29" t="s">
        <v>90</v>
      </c>
      <c r="F75" s="30">
        <v>2446.92088007146</v>
      </c>
      <c r="G75" s="30">
        <v>10.244865567</v>
      </c>
      <c r="H75" s="30">
        <v>-18.826866567000003</v>
      </c>
      <c r="I75" s="30">
        <v>29.071732134000005</v>
      </c>
    </row>
    <row r="76" spans="1:9" x14ac:dyDescent="0.35">
      <c r="A76" s="29" t="s">
        <v>160</v>
      </c>
      <c r="B76" s="29" t="s">
        <v>161</v>
      </c>
      <c r="C76" s="29" t="s">
        <v>128</v>
      </c>
      <c r="D76" s="29" t="s">
        <v>111</v>
      </c>
      <c r="E76" s="29" t="s">
        <v>90</v>
      </c>
      <c r="F76" s="30">
        <v>4995.1215345740302</v>
      </c>
      <c r="G76" s="30">
        <v>65.192950545999992</v>
      </c>
      <c r="H76" s="30">
        <v>41.361947472999987</v>
      </c>
      <c r="I76" s="30">
        <v>23.831003073000002</v>
      </c>
    </row>
    <row r="77" spans="1:9" x14ac:dyDescent="0.35">
      <c r="A77" s="29" t="s">
        <v>162</v>
      </c>
      <c r="B77" s="29" t="s">
        <v>161</v>
      </c>
      <c r="C77" s="29" t="s">
        <v>128</v>
      </c>
      <c r="D77" s="29" t="s">
        <v>111</v>
      </c>
      <c r="E77" s="29" t="s">
        <v>90</v>
      </c>
      <c r="F77" s="30">
        <v>3489.6061958882101</v>
      </c>
      <c r="G77" s="30">
        <v>88.526189990000091</v>
      </c>
      <c r="H77" s="30">
        <v>-10.643868393999909</v>
      </c>
      <c r="I77" s="30">
        <v>99.170058384000001</v>
      </c>
    </row>
    <row r="78" spans="1:9" x14ac:dyDescent="0.35">
      <c r="A78" s="29" t="s">
        <v>163</v>
      </c>
      <c r="B78" s="29" t="s">
        <v>164</v>
      </c>
      <c r="C78" s="29" t="s">
        <v>121</v>
      </c>
      <c r="D78" s="29" t="s">
        <v>121</v>
      </c>
      <c r="E78" s="29" t="s">
        <v>121</v>
      </c>
      <c r="F78" s="30">
        <v>230.377101500376</v>
      </c>
      <c r="G78" s="30">
        <v>1.9939171189999998</v>
      </c>
      <c r="H78" s="30">
        <v>1.7608467343742897</v>
      </c>
      <c r="I78" s="30">
        <v>0.23307038462571</v>
      </c>
    </row>
    <row r="79" spans="1:9" x14ac:dyDescent="0.35">
      <c r="A79" s="29" t="s">
        <v>165</v>
      </c>
      <c r="B79" s="29" t="s">
        <v>164</v>
      </c>
      <c r="C79" s="29" t="s">
        <v>121</v>
      </c>
      <c r="D79" s="29" t="s">
        <v>121</v>
      </c>
      <c r="E79" s="29" t="s">
        <v>121</v>
      </c>
      <c r="F79" s="30">
        <v>2063.1153962535</v>
      </c>
      <c r="G79" s="30">
        <v>28.767161751000504</v>
      </c>
      <c r="H79" s="30">
        <v>10.477203616626202</v>
      </c>
      <c r="I79" s="30">
        <v>18.289958134374302</v>
      </c>
    </row>
    <row r="80" spans="1:9" x14ac:dyDescent="0.35">
      <c r="A80" s="29" t="s">
        <v>166</v>
      </c>
      <c r="B80" s="29" t="s">
        <v>167</v>
      </c>
      <c r="C80" s="29" t="s">
        <v>33</v>
      </c>
      <c r="D80" s="29" t="s">
        <v>111</v>
      </c>
      <c r="E80" s="29" t="s">
        <v>90</v>
      </c>
      <c r="F80" s="30">
        <v>26.180584051295199</v>
      </c>
      <c r="G80" s="30">
        <v>0.20797596099999999</v>
      </c>
      <c r="H80" s="30">
        <v>-0.209523446</v>
      </c>
      <c r="I80" s="30">
        <v>0.41749940699999999</v>
      </c>
    </row>
    <row r="81" spans="1:9" x14ac:dyDescent="0.35">
      <c r="A81" s="29" t="s">
        <v>168</v>
      </c>
      <c r="B81" s="29" t="s">
        <v>167</v>
      </c>
      <c r="C81" s="29" t="s">
        <v>33</v>
      </c>
      <c r="D81" s="29" t="s">
        <v>111</v>
      </c>
      <c r="E81" s="29" t="s">
        <v>90</v>
      </c>
      <c r="F81" s="30">
        <v>124.294333323011</v>
      </c>
      <c r="G81" s="30">
        <v>3.2300821969999998</v>
      </c>
      <c r="H81" s="30">
        <v>1.9290846459999997</v>
      </c>
      <c r="I81" s="30">
        <v>1.300997551</v>
      </c>
    </row>
    <row r="82" spans="1:9" x14ac:dyDescent="0.35">
      <c r="A82" s="29" t="s">
        <v>169</v>
      </c>
      <c r="B82" s="29" t="s">
        <v>167</v>
      </c>
      <c r="C82" s="29" t="s">
        <v>33</v>
      </c>
      <c r="D82" s="29" t="s">
        <v>111</v>
      </c>
      <c r="E82" s="29" t="s">
        <v>90</v>
      </c>
      <c r="F82" s="30">
        <v>151.20741476330102</v>
      </c>
      <c r="G82" s="30">
        <v>3.0547922259999996</v>
      </c>
      <c r="H82" s="30">
        <v>1.1083383119999997</v>
      </c>
      <c r="I82" s="30">
        <v>1.9464539139999999</v>
      </c>
    </row>
    <row r="83" spans="1:9" x14ac:dyDescent="0.35">
      <c r="A83" s="29" t="s">
        <v>170</v>
      </c>
      <c r="B83" s="29" t="s">
        <v>167</v>
      </c>
      <c r="C83" s="29" t="s">
        <v>33</v>
      </c>
      <c r="D83" s="29" t="s">
        <v>111</v>
      </c>
      <c r="E83" s="29" t="s">
        <v>90</v>
      </c>
      <c r="F83" s="30">
        <v>1208.8856560592101</v>
      </c>
      <c r="G83" s="30">
        <v>16.799274830000101</v>
      </c>
      <c r="H83" s="30">
        <v>2.7282387900001019</v>
      </c>
      <c r="I83" s="30">
        <v>14.071036039999999</v>
      </c>
    </row>
    <row r="84" spans="1:9" x14ac:dyDescent="0.35">
      <c r="A84" s="29" t="s">
        <v>171</v>
      </c>
      <c r="B84" s="29" t="s">
        <v>172</v>
      </c>
      <c r="C84" s="29" t="s">
        <v>49</v>
      </c>
      <c r="D84" s="29" t="s">
        <v>125</v>
      </c>
      <c r="E84" s="29" t="s">
        <v>90</v>
      </c>
      <c r="F84" s="30">
        <v>1948.720452902</v>
      </c>
      <c r="G84" s="30">
        <v>0</v>
      </c>
      <c r="H84" s="30">
        <v>0</v>
      </c>
      <c r="I84" s="30">
        <v>0</v>
      </c>
    </row>
    <row r="85" spans="1:9" x14ac:dyDescent="0.35">
      <c r="A85" s="29" t="s">
        <v>173</v>
      </c>
      <c r="B85" s="29" t="s">
        <v>117</v>
      </c>
      <c r="C85" s="29" t="s">
        <v>118</v>
      </c>
      <c r="D85" s="29" t="s">
        <v>111</v>
      </c>
      <c r="E85" s="29" t="s">
        <v>90</v>
      </c>
      <c r="F85" s="30">
        <v>117.62199335493401</v>
      </c>
      <c r="G85" s="30">
        <v>1.083227027</v>
      </c>
      <c r="H85" s="30">
        <v>-0.39387744199999997</v>
      </c>
      <c r="I85" s="30">
        <v>1.4771044689999999</v>
      </c>
    </row>
    <row r="86" spans="1:9" x14ac:dyDescent="0.35">
      <c r="A86" s="29" t="s">
        <v>174</v>
      </c>
      <c r="B86" s="29" t="s">
        <v>117</v>
      </c>
      <c r="C86" s="29" t="s">
        <v>118</v>
      </c>
      <c r="D86" s="29" t="s">
        <v>111</v>
      </c>
      <c r="E86" s="29" t="s">
        <v>90</v>
      </c>
      <c r="F86" s="30">
        <v>1071.37398370596</v>
      </c>
      <c r="G86" s="30">
        <v>36.971520074000097</v>
      </c>
      <c r="H86" s="30">
        <v>17.755059450000097</v>
      </c>
      <c r="I86" s="30">
        <v>19.216460624</v>
      </c>
    </row>
    <row r="87" spans="1:9" x14ac:dyDescent="0.35">
      <c r="A87" s="29" t="s">
        <v>175</v>
      </c>
      <c r="B87" s="29" t="s">
        <v>124</v>
      </c>
      <c r="C87" s="29" t="s">
        <v>42</v>
      </c>
      <c r="D87" s="29" t="s">
        <v>125</v>
      </c>
      <c r="E87" s="29" t="s">
        <v>121</v>
      </c>
      <c r="F87" s="30">
        <v>44.55692266338</v>
      </c>
      <c r="G87" s="30">
        <v>0</v>
      </c>
      <c r="H87" s="30">
        <v>0</v>
      </c>
      <c r="I87" s="30">
        <v>0</v>
      </c>
    </row>
    <row r="88" spans="1:9" x14ac:dyDescent="0.35">
      <c r="A88" s="29" t="s">
        <v>267</v>
      </c>
      <c r="B88" s="29" t="s">
        <v>135</v>
      </c>
      <c r="C88" s="29" t="s">
        <v>136</v>
      </c>
      <c r="D88" s="29" t="s">
        <v>111</v>
      </c>
      <c r="E88" s="29" t="s">
        <v>90</v>
      </c>
      <c r="F88" s="30">
        <v>316.09043347139499</v>
      </c>
      <c r="G88" s="30">
        <v>0.868823703</v>
      </c>
      <c r="H88" s="30">
        <v>-8.3761851200000006</v>
      </c>
      <c r="I88" s="30">
        <v>9.2450088230000009</v>
      </c>
    </row>
    <row r="89" spans="1:9" x14ac:dyDescent="0.35">
      <c r="A89" s="29" t="s">
        <v>268</v>
      </c>
      <c r="B89" s="29" t="s">
        <v>135</v>
      </c>
      <c r="C89" s="29" t="s">
        <v>136</v>
      </c>
      <c r="D89" s="29" t="s">
        <v>111</v>
      </c>
      <c r="E89" s="29" t="s">
        <v>90</v>
      </c>
      <c r="F89" s="30">
        <v>1539.8592228740201</v>
      </c>
      <c r="G89" s="30">
        <v>16.292441574000001</v>
      </c>
      <c r="H89" s="30">
        <v>1.7952558550000024</v>
      </c>
      <c r="I89" s="30">
        <v>14.497185718999999</v>
      </c>
    </row>
    <row r="90" spans="1:9" x14ac:dyDescent="0.35">
      <c r="A90" s="29" t="s">
        <v>177</v>
      </c>
      <c r="B90" s="29" t="s">
        <v>178</v>
      </c>
      <c r="C90" s="29" t="s">
        <v>121</v>
      </c>
      <c r="D90" s="29" t="s">
        <v>121</v>
      </c>
      <c r="E90" s="29" t="s">
        <v>121</v>
      </c>
      <c r="F90" s="30">
        <v>5.4944904759999993</v>
      </c>
      <c r="G90" s="30">
        <v>0</v>
      </c>
      <c r="H90" s="30">
        <v>0</v>
      </c>
      <c r="I90" s="30">
        <v>0</v>
      </c>
    </row>
    <row r="91" spans="1:9" x14ac:dyDescent="0.35">
      <c r="A91" s="29" t="s">
        <v>179</v>
      </c>
      <c r="B91" s="29" t="s">
        <v>178</v>
      </c>
      <c r="C91" s="29" t="s">
        <v>121</v>
      </c>
      <c r="D91" s="29" t="s">
        <v>121</v>
      </c>
      <c r="E91" s="29" t="s">
        <v>121</v>
      </c>
      <c r="F91" s="30">
        <v>85.208302373506996</v>
      </c>
      <c r="G91" s="30">
        <v>0</v>
      </c>
      <c r="H91" s="30">
        <v>0</v>
      </c>
      <c r="I91" s="30">
        <v>0</v>
      </c>
    </row>
    <row r="92" spans="1:9" x14ac:dyDescent="0.35">
      <c r="A92" s="29" t="s">
        <v>180</v>
      </c>
      <c r="B92" s="29" t="s">
        <v>141</v>
      </c>
      <c r="C92" s="29" t="s">
        <v>121</v>
      </c>
      <c r="D92" s="29" t="s">
        <v>121</v>
      </c>
      <c r="E92" s="29" t="s">
        <v>121</v>
      </c>
      <c r="F92" s="30">
        <v>127.624963728973</v>
      </c>
      <c r="G92" s="30">
        <v>4.1035589950000002</v>
      </c>
      <c r="H92" s="30">
        <v>4.0206515899999999</v>
      </c>
      <c r="I92" s="30">
        <v>8.2907405000000003E-2</v>
      </c>
    </row>
    <row r="93" spans="1:9" x14ac:dyDescent="0.35">
      <c r="A93" s="29" t="s">
        <v>181</v>
      </c>
      <c r="B93" s="29" t="s">
        <v>141</v>
      </c>
      <c r="C93" s="29" t="s">
        <v>121</v>
      </c>
      <c r="D93" s="29" t="s">
        <v>121</v>
      </c>
      <c r="E93" s="29" t="s">
        <v>121</v>
      </c>
      <c r="F93" s="30">
        <v>386.35398562218199</v>
      </c>
      <c r="G93" s="30">
        <v>7.6955365539999896</v>
      </c>
      <c r="H93" s="30">
        <v>4.1719151159999894</v>
      </c>
      <c r="I93" s="30">
        <v>3.5236214380000002</v>
      </c>
    </row>
    <row r="94" spans="1:9" x14ac:dyDescent="0.35">
      <c r="A94" s="29" t="s">
        <v>182</v>
      </c>
      <c r="B94" s="29" t="s">
        <v>167</v>
      </c>
      <c r="C94" s="29" t="s">
        <v>33</v>
      </c>
      <c r="D94" s="29" t="s">
        <v>111</v>
      </c>
      <c r="E94" s="29" t="s">
        <v>90</v>
      </c>
      <c r="F94" s="30">
        <v>29.497015717239503</v>
      </c>
      <c r="G94" s="30">
        <v>0.351261194</v>
      </c>
      <c r="H94" s="30">
        <v>-0.73126016000000005</v>
      </c>
      <c r="I94" s="30">
        <v>1.082521354</v>
      </c>
    </row>
    <row r="95" spans="1:9" x14ac:dyDescent="0.35">
      <c r="A95" s="29" t="s">
        <v>183</v>
      </c>
      <c r="B95" s="29" t="s">
        <v>167</v>
      </c>
      <c r="C95" s="29" t="s">
        <v>33</v>
      </c>
      <c r="D95" s="29" t="s">
        <v>111</v>
      </c>
      <c r="E95" s="29" t="s">
        <v>90</v>
      </c>
      <c r="F95" s="30">
        <v>161.521983072258</v>
      </c>
      <c r="G95" s="30">
        <v>3.1862058439999998</v>
      </c>
      <c r="H95" s="30">
        <v>-3.0738173850000008</v>
      </c>
      <c r="I95" s="30">
        <v>6.2600232290000006</v>
      </c>
    </row>
    <row r="96" spans="1:9" x14ac:dyDescent="0.35">
      <c r="A96" s="29" t="s">
        <v>184</v>
      </c>
      <c r="B96" s="29" t="s">
        <v>185</v>
      </c>
      <c r="C96" s="29" t="s">
        <v>85</v>
      </c>
      <c r="D96" s="29" t="s">
        <v>111</v>
      </c>
      <c r="E96" s="29" t="s">
        <v>90</v>
      </c>
      <c r="F96" s="30">
        <v>3531.32267320954</v>
      </c>
      <c r="G96" s="30">
        <v>3263.6652527649999</v>
      </c>
      <c r="H96" s="30">
        <v>-282.67297206900002</v>
      </c>
      <c r="I96" s="30">
        <v>3546.3382248339999</v>
      </c>
    </row>
    <row r="97" spans="1:9" x14ac:dyDescent="0.35">
      <c r="A97" s="29" t="s">
        <v>186</v>
      </c>
      <c r="B97" s="29" t="s">
        <v>185</v>
      </c>
      <c r="C97" s="29" t="s">
        <v>85</v>
      </c>
      <c r="D97" s="29" t="s">
        <v>111</v>
      </c>
      <c r="E97" s="29" t="s">
        <v>90</v>
      </c>
      <c r="F97" s="30">
        <v>6303.3153178374096</v>
      </c>
      <c r="G97" s="30">
        <v>382.13205814499798</v>
      </c>
      <c r="H97" s="30">
        <v>-83.810770493866016</v>
      </c>
      <c r="I97" s="30">
        <v>465.942828638864</v>
      </c>
    </row>
    <row r="98" spans="1:9" x14ac:dyDescent="0.35">
      <c r="A98" s="29" t="s">
        <v>269</v>
      </c>
      <c r="B98" s="29" t="s">
        <v>137</v>
      </c>
      <c r="C98" s="29" t="s">
        <v>138</v>
      </c>
      <c r="D98" s="29" t="s">
        <v>111</v>
      </c>
      <c r="E98" s="29" t="s">
        <v>90</v>
      </c>
      <c r="F98" s="30">
        <v>198.18402558659801</v>
      </c>
      <c r="G98" s="30">
        <v>13.354530977</v>
      </c>
      <c r="H98" s="30">
        <v>12.607540479999999</v>
      </c>
      <c r="I98" s="30">
        <v>0.74699049699999986</v>
      </c>
    </row>
    <row r="99" spans="1:9" x14ac:dyDescent="0.35">
      <c r="A99" s="29" t="s">
        <v>270</v>
      </c>
      <c r="B99" s="29" t="s">
        <v>137</v>
      </c>
      <c r="C99" s="29" t="s">
        <v>138</v>
      </c>
      <c r="D99" s="29" t="s">
        <v>111</v>
      </c>
      <c r="E99" s="29" t="s">
        <v>90</v>
      </c>
      <c r="F99" s="30">
        <v>1124.28698499389</v>
      </c>
      <c r="G99" s="30">
        <v>50.246259372999994</v>
      </c>
      <c r="H99" s="30">
        <v>33.144851610999993</v>
      </c>
      <c r="I99" s="30">
        <v>17.101407761999997</v>
      </c>
    </row>
    <row r="100" spans="1:9" x14ac:dyDescent="0.35">
      <c r="A100" s="29" t="s">
        <v>187</v>
      </c>
      <c r="B100" s="29" t="s">
        <v>188</v>
      </c>
      <c r="C100" s="29" t="s">
        <v>136</v>
      </c>
      <c r="D100" s="29" t="s">
        <v>111</v>
      </c>
      <c r="E100" s="29" t="s">
        <v>90</v>
      </c>
      <c r="F100" s="30">
        <v>532.15676107757497</v>
      </c>
      <c r="G100" s="30">
        <v>1.307348935</v>
      </c>
      <c r="H100" s="30">
        <v>-0.87248761599999969</v>
      </c>
      <c r="I100" s="30">
        <v>2.1798365509999997</v>
      </c>
    </row>
    <row r="101" spans="1:9" x14ac:dyDescent="0.35">
      <c r="A101" s="29" t="s">
        <v>189</v>
      </c>
      <c r="B101" s="29" t="s">
        <v>188</v>
      </c>
      <c r="C101" s="29" t="s">
        <v>136</v>
      </c>
      <c r="D101" s="29" t="s">
        <v>111</v>
      </c>
      <c r="E101" s="29" t="s">
        <v>90</v>
      </c>
      <c r="F101" s="30">
        <v>2535.2473579254602</v>
      </c>
      <c r="G101" s="30">
        <v>11.454602608</v>
      </c>
      <c r="H101" s="30">
        <v>-18.171623322999999</v>
      </c>
      <c r="I101" s="30">
        <v>29.626225931</v>
      </c>
    </row>
    <row r="102" spans="1:9" x14ac:dyDescent="0.35">
      <c r="A102" s="29" t="s">
        <v>271</v>
      </c>
      <c r="B102" s="29" t="s">
        <v>207</v>
      </c>
      <c r="C102" s="29" t="s">
        <v>121</v>
      </c>
      <c r="D102" s="29" t="s">
        <v>121</v>
      </c>
      <c r="E102" s="29" t="s">
        <v>121</v>
      </c>
      <c r="F102" s="30">
        <v>1204.79185036684</v>
      </c>
      <c r="G102" s="30">
        <v>38.148377919000005</v>
      </c>
      <c r="H102" s="30">
        <v>30.355002120871905</v>
      </c>
      <c r="I102" s="30">
        <v>7.7933757981280998</v>
      </c>
    </row>
    <row r="103" spans="1:9" x14ac:dyDescent="0.35">
      <c r="A103" s="29" t="s">
        <v>272</v>
      </c>
      <c r="B103" s="29" t="s">
        <v>207</v>
      </c>
      <c r="C103" s="29" t="s">
        <v>121</v>
      </c>
      <c r="D103" s="29" t="s">
        <v>121</v>
      </c>
      <c r="E103" s="29" t="s">
        <v>121</v>
      </c>
      <c r="F103" s="30">
        <v>5729.1000333717102</v>
      </c>
      <c r="G103" s="30">
        <v>197.6047636200031</v>
      </c>
      <c r="H103" s="30">
        <v>72.764334444131634</v>
      </c>
      <c r="I103" s="30">
        <v>124.84042917587146</v>
      </c>
    </row>
    <row r="104" spans="1:9" x14ac:dyDescent="0.35">
      <c r="A104" s="29" t="s">
        <v>273</v>
      </c>
      <c r="B104" s="29" t="s">
        <v>274</v>
      </c>
      <c r="C104" s="29" t="s">
        <v>110</v>
      </c>
      <c r="D104" s="29" t="s">
        <v>111</v>
      </c>
      <c r="E104" s="29" t="s">
        <v>90</v>
      </c>
      <c r="F104" s="30">
        <v>0</v>
      </c>
      <c r="G104" s="30">
        <v>0</v>
      </c>
      <c r="H104" s="30">
        <v>0</v>
      </c>
      <c r="I104" s="30">
        <v>0</v>
      </c>
    </row>
    <row r="105" spans="1:9" x14ac:dyDescent="0.35">
      <c r="A105" s="29" t="s">
        <v>191</v>
      </c>
      <c r="B105" s="29" t="s">
        <v>192</v>
      </c>
      <c r="C105" s="29" t="s">
        <v>121</v>
      </c>
      <c r="D105" s="29" t="s">
        <v>121</v>
      </c>
      <c r="E105" s="29" t="s">
        <v>121</v>
      </c>
      <c r="F105" s="30">
        <v>151.84109571228001</v>
      </c>
      <c r="G105" s="30">
        <v>3.5504082119999998</v>
      </c>
      <c r="H105" s="30">
        <v>-1.0136926877129211</v>
      </c>
      <c r="I105" s="30">
        <v>4.5641008997129209</v>
      </c>
    </row>
    <row r="106" spans="1:9" x14ac:dyDescent="0.35">
      <c r="A106" s="29" t="s">
        <v>193</v>
      </c>
      <c r="B106" s="29" t="s">
        <v>192</v>
      </c>
      <c r="C106" s="29" t="s">
        <v>121</v>
      </c>
      <c r="D106" s="29" t="s">
        <v>121</v>
      </c>
      <c r="E106" s="29" t="s">
        <v>121</v>
      </c>
      <c r="F106" s="30">
        <v>3582.0061247193898</v>
      </c>
      <c r="G106" s="30">
        <v>49.269929943000406</v>
      </c>
      <c r="H106" s="30">
        <v>15.618102656713305</v>
      </c>
      <c r="I106" s="30">
        <v>33.651827286287102</v>
      </c>
    </row>
    <row r="107" spans="1:9" x14ac:dyDescent="0.35">
      <c r="A107" s="29" t="s">
        <v>194</v>
      </c>
      <c r="B107" s="29" t="s">
        <v>167</v>
      </c>
      <c r="C107" s="29" t="s">
        <v>33</v>
      </c>
      <c r="D107" s="29" t="s">
        <v>111</v>
      </c>
      <c r="E107" s="29" t="s">
        <v>90</v>
      </c>
      <c r="F107" s="30">
        <v>254.86284602085701</v>
      </c>
      <c r="G107" s="30">
        <v>19.232062118999998</v>
      </c>
      <c r="H107" s="30">
        <v>18.541966605999999</v>
      </c>
      <c r="I107" s="30">
        <v>0.69009551299999994</v>
      </c>
    </row>
    <row r="108" spans="1:9" x14ac:dyDescent="0.35">
      <c r="A108" s="29" t="s">
        <v>195</v>
      </c>
      <c r="B108" s="29" t="s">
        <v>167</v>
      </c>
      <c r="C108" s="29" t="s">
        <v>33</v>
      </c>
      <c r="D108" s="29" t="s">
        <v>111</v>
      </c>
      <c r="E108" s="29" t="s">
        <v>90</v>
      </c>
      <c r="F108" s="30">
        <v>438.96970781853901</v>
      </c>
      <c r="G108" s="30">
        <v>22.5936966330001</v>
      </c>
      <c r="H108" s="30">
        <v>18.9388613990001</v>
      </c>
      <c r="I108" s="30">
        <v>3.6548352340000001</v>
      </c>
    </row>
    <row r="109" spans="1:9" x14ac:dyDescent="0.35">
      <c r="A109" s="29" t="s">
        <v>196</v>
      </c>
      <c r="B109" s="29" t="s">
        <v>124</v>
      </c>
      <c r="C109" s="29" t="s">
        <v>42</v>
      </c>
      <c r="D109" s="29" t="s">
        <v>125</v>
      </c>
      <c r="E109" s="29" t="s">
        <v>121</v>
      </c>
      <c r="F109" s="30">
        <v>14.186842138419999</v>
      </c>
      <c r="G109" s="30">
        <v>0</v>
      </c>
      <c r="H109" s="30">
        <v>0</v>
      </c>
      <c r="I109" s="30">
        <v>0</v>
      </c>
    </row>
    <row r="110" spans="1:9" x14ac:dyDescent="0.35">
      <c r="A110" s="29" t="s">
        <v>197</v>
      </c>
      <c r="B110" s="29" t="s">
        <v>124</v>
      </c>
      <c r="C110" s="29" t="s">
        <v>42</v>
      </c>
      <c r="D110" s="29" t="s">
        <v>125</v>
      </c>
      <c r="E110" s="29" t="s">
        <v>121</v>
      </c>
      <c r="F110" s="30">
        <v>25.783628729850001</v>
      </c>
      <c r="G110" s="30">
        <v>0</v>
      </c>
      <c r="H110" s="30">
        <v>0</v>
      </c>
      <c r="I110" s="30">
        <v>0</v>
      </c>
    </row>
    <row r="111" spans="1:9" x14ac:dyDescent="0.35">
      <c r="A111" s="29" t="s">
        <v>198</v>
      </c>
      <c r="B111" s="29" t="s">
        <v>124</v>
      </c>
      <c r="C111" s="29" t="s">
        <v>42</v>
      </c>
      <c r="D111" s="29" t="s">
        <v>125</v>
      </c>
      <c r="E111" s="29" t="s">
        <v>121</v>
      </c>
      <c r="F111" s="30">
        <v>1463.17645821613</v>
      </c>
      <c r="G111" s="30">
        <v>0</v>
      </c>
      <c r="H111" s="30">
        <v>0</v>
      </c>
      <c r="I111" s="30">
        <v>0</v>
      </c>
    </row>
    <row r="112" spans="1:9" x14ac:dyDescent="0.35">
      <c r="A112" s="29" t="s">
        <v>275</v>
      </c>
      <c r="B112" s="29" t="s">
        <v>151</v>
      </c>
      <c r="C112" s="29" t="s">
        <v>121</v>
      </c>
      <c r="D112" s="29" t="s">
        <v>121</v>
      </c>
      <c r="E112" s="29" t="s">
        <v>121</v>
      </c>
      <c r="F112" s="30">
        <v>827.83803780357107</v>
      </c>
      <c r="G112" s="30">
        <v>14.962523529</v>
      </c>
      <c r="H112" s="30">
        <v>11.98287850920833</v>
      </c>
      <c r="I112" s="30">
        <v>2.9796450197916702</v>
      </c>
    </row>
    <row r="113" spans="1:9" x14ac:dyDescent="0.35">
      <c r="A113" s="29" t="s">
        <v>276</v>
      </c>
      <c r="B113" s="29" t="s">
        <v>151</v>
      </c>
      <c r="C113" s="29" t="s">
        <v>121</v>
      </c>
      <c r="D113" s="29" t="s">
        <v>121</v>
      </c>
      <c r="E113" s="29" t="s">
        <v>121</v>
      </c>
      <c r="F113" s="30">
        <v>8129.3787279469907</v>
      </c>
      <c r="G113" s="30">
        <v>162.15312798400311</v>
      </c>
      <c r="H113" s="30">
        <v>122.81642049779472</v>
      </c>
      <c r="I113" s="30">
        <v>39.336707486208383</v>
      </c>
    </row>
    <row r="114" spans="1:9" x14ac:dyDescent="0.35">
      <c r="A114" s="29" t="s">
        <v>199</v>
      </c>
      <c r="B114" s="29" t="s">
        <v>200</v>
      </c>
      <c r="C114" s="29" t="s">
        <v>115</v>
      </c>
      <c r="D114" s="29" t="s">
        <v>116</v>
      </c>
      <c r="E114" s="29" t="s">
        <v>90</v>
      </c>
      <c r="F114" s="30">
        <v>6822.1728687815903</v>
      </c>
      <c r="G114" s="30">
        <v>13498.471831872999</v>
      </c>
      <c r="H114" s="30">
        <v>1653.204148458999</v>
      </c>
      <c r="I114" s="30">
        <v>11845.267683414</v>
      </c>
    </row>
    <row r="115" spans="1:9" x14ac:dyDescent="0.35">
      <c r="A115" s="29" t="s">
        <v>201</v>
      </c>
      <c r="B115" s="29" t="s">
        <v>200</v>
      </c>
      <c r="C115" s="29" t="s">
        <v>115</v>
      </c>
      <c r="D115" s="29" t="s">
        <v>116</v>
      </c>
      <c r="E115" s="29" t="s">
        <v>90</v>
      </c>
      <c r="F115" s="30">
        <v>1889.7682845338099</v>
      </c>
      <c r="G115" s="30">
        <v>2037.4539955319999</v>
      </c>
      <c r="H115" s="30">
        <v>-492.50974833499981</v>
      </c>
      <c r="I115" s="30">
        <v>2529.9637438669997</v>
      </c>
    </row>
    <row r="116" spans="1:9" x14ac:dyDescent="0.35">
      <c r="A116" s="29" t="s">
        <v>202</v>
      </c>
      <c r="B116" s="29" t="s">
        <v>124</v>
      </c>
      <c r="C116" s="29" t="s">
        <v>42</v>
      </c>
      <c r="D116" s="29" t="s">
        <v>125</v>
      </c>
      <c r="E116" s="29" t="s">
        <v>121</v>
      </c>
      <c r="F116" s="30">
        <v>171.61627845499999</v>
      </c>
      <c r="G116" s="30">
        <v>0</v>
      </c>
      <c r="H116" s="30">
        <v>0</v>
      </c>
      <c r="I116" s="30">
        <v>0</v>
      </c>
    </row>
    <row r="117" spans="1:9" x14ac:dyDescent="0.35">
      <c r="A117" s="29" t="s">
        <v>203</v>
      </c>
      <c r="B117" s="29" t="s">
        <v>141</v>
      </c>
      <c r="C117" s="29" t="s">
        <v>121</v>
      </c>
      <c r="D117" s="29" t="s">
        <v>121</v>
      </c>
      <c r="E117" s="29" t="s">
        <v>121</v>
      </c>
      <c r="F117" s="30">
        <v>98.672255895863998</v>
      </c>
      <c r="G117" s="30">
        <v>2.1740264119999999</v>
      </c>
      <c r="H117" s="30">
        <v>1.4895308027252898</v>
      </c>
      <c r="I117" s="30">
        <v>0.68449560927471009</v>
      </c>
    </row>
    <row r="118" spans="1:9" x14ac:dyDescent="0.35">
      <c r="A118" s="29" t="s">
        <v>204</v>
      </c>
      <c r="B118" s="29" t="s">
        <v>141</v>
      </c>
      <c r="C118" s="29" t="s">
        <v>121</v>
      </c>
      <c r="D118" s="29" t="s">
        <v>121</v>
      </c>
      <c r="E118" s="29" t="s">
        <v>121</v>
      </c>
      <c r="F118" s="30">
        <v>1490.7730468602399</v>
      </c>
      <c r="G118" s="30">
        <v>34.3143990350002</v>
      </c>
      <c r="H118" s="30">
        <v>25.384643432274899</v>
      </c>
      <c r="I118" s="30">
        <v>8.9297556027252991</v>
      </c>
    </row>
    <row r="119" spans="1:9" x14ac:dyDescent="0.35">
      <c r="A119" s="29" t="s">
        <v>206</v>
      </c>
      <c r="B119" s="29" t="s">
        <v>124</v>
      </c>
      <c r="C119" s="29" t="s">
        <v>42</v>
      </c>
      <c r="D119" s="29" t="s">
        <v>125</v>
      </c>
      <c r="E119" s="29" t="s">
        <v>121</v>
      </c>
      <c r="F119" s="30">
        <v>19.322962316040002</v>
      </c>
      <c r="G119" s="30">
        <v>0</v>
      </c>
      <c r="H119" s="30">
        <v>0</v>
      </c>
      <c r="I119" s="30">
        <v>0</v>
      </c>
    </row>
    <row r="120" spans="1:9" x14ac:dyDescent="0.35">
      <c r="A120" s="29" t="s">
        <v>277</v>
      </c>
      <c r="B120" s="29" t="s">
        <v>159</v>
      </c>
      <c r="C120" s="29" t="s">
        <v>121</v>
      </c>
      <c r="D120" s="29" t="s">
        <v>121</v>
      </c>
      <c r="E120" s="29" t="s">
        <v>121</v>
      </c>
      <c r="F120" s="30">
        <v>7189.9602593025902</v>
      </c>
      <c r="G120" s="30">
        <v>33.958544293999999</v>
      </c>
      <c r="H120" s="30">
        <v>-2.6458759740847668</v>
      </c>
      <c r="I120" s="30">
        <v>36.604420268084766</v>
      </c>
    </row>
    <row r="121" spans="1:9" x14ac:dyDescent="0.35">
      <c r="A121" s="29" t="s">
        <v>278</v>
      </c>
      <c r="B121" s="29" t="s">
        <v>159</v>
      </c>
      <c r="C121" s="29" t="s">
        <v>121</v>
      </c>
      <c r="D121" s="29" t="s">
        <v>121</v>
      </c>
      <c r="E121" s="29" t="s">
        <v>121</v>
      </c>
      <c r="F121" s="30">
        <v>31015.051353836501</v>
      </c>
      <c r="G121" s="30">
        <v>233.9577298740021</v>
      </c>
      <c r="H121" s="30">
        <v>-104.94773466516932</v>
      </c>
      <c r="I121" s="30">
        <v>338.90546453917142</v>
      </c>
    </row>
    <row r="122" spans="1:9" x14ac:dyDescent="0.35">
      <c r="A122" s="29" t="s">
        <v>279</v>
      </c>
      <c r="B122" s="29" t="s">
        <v>19</v>
      </c>
      <c r="C122" s="29" t="s">
        <v>19</v>
      </c>
      <c r="D122" s="29" t="s">
        <v>121</v>
      </c>
      <c r="E122" s="29" t="s">
        <v>121</v>
      </c>
      <c r="F122" s="30">
        <v>181.40525703404299</v>
      </c>
      <c r="G122" s="30">
        <v>3.5174501329999996</v>
      </c>
      <c r="H122" s="30">
        <v>2.7402072739999994</v>
      </c>
      <c r="I122" s="30">
        <v>0.77724285900000001</v>
      </c>
    </row>
    <row r="123" spans="1:9" x14ac:dyDescent="0.35">
      <c r="A123" s="29" t="s">
        <v>280</v>
      </c>
      <c r="B123" s="29" t="s">
        <v>19</v>
      </c>
      <c r="C123" s="29" t="s">
        <v>19</v>
      </c>
      <c r="D123" s="29" t="s">
        <v>121</v>
      </c>
      <c r="E123" s="29" t="s">
        <v>121</v>
      </c>
      <c r="F123" s="30">
        <v>2318.5558369781902</v>
      </c>
      <c r="G123" s="30">
        <v>37.7587485370005</v>
      </c>
      <c r="H123" s="30">
        <v>29.165396941000502</v>
      </c>
      <c r="I123" s="30">
        <v>8.5933515959999998</v>
      </c>
    </row>
    <row r="124" spans="1:9" x14ac:dyDescent="0.35">
      <c r="A124" s="29" t="s">
        <v>281</v>
      </c>
      <c r="B124" s="29" t="s">
        <v>205</v>
      </c>
      <c r="C124" s="29" t="s">
        <v>85</v>
      </c>
      <c r="D124" s="29" t="s">
        <v>111</v>
      </c>
      <c r="E124" s="29" t="s">
        <v>90</v>
      </c>
      <c r="F124" s="30">
        <v>7888.7849369130008</v>
      </c>
      <c r="G124" s="30">
        <v>652.03880509299995</v>
      </c>
      <c r="H124" s="30">
        <v>249.90130259299997</v>
      </c>
      <c r="I124" s="30">
        <v>402.13750249999998</v>
      </c>
    </row>
    <row r="125" spans="1:9" x14ac:dyDescent="0.35">
      <c r="A125" s="29" t="s">
        <v>282</v>
      </c>
      <c r="B125" s="29" t="s">
        <v>205</v>
      </c>
      <c r="C125" s="29" t="s">
        <v>85</v>
      </c>
      <c r="D125" s="29" t="s">
        <v>111</v>
      </c>
      <c r="E125" s="29" t="s">
        <v>90</v>
      </c>
      <c r="F125" s="30">
        <v>3785.9017455234402</v>
      </c>
      <c r="G125" s="30">
        <v>279.37674706199999</v>
      </c>
      <c r="H125" s="30">
        <v>-39.07597974100014</v>
      </c>
      <c r="I125" s="30">
        <v>318.45272680300013</v>
      </c>
    </row>
    <row r="126" spans="1:9" x14ac:dyDescent="0.35">
      <c r="A126" s="29" t="s">
        <v>208</v>
      </c>
      <c r="B126" s="29" t="s">
        <v>114</v>
      </c>
      <c r="C126" s="29" t="s">
        <v>115</v>
      </c>
      <c r="D126" s="29" t="s">
        <v>116</v>
      </c>
      <c r="E126" s="29" t="s">
        <v>90</v>
      </c>
      <c r="F126" s="30">
        <v>23.518406467036797</v>
      </c>
      <c r="G126" s="30">
        <v>0</v>
      </c>
      <c r="H126" s="30">
        <v>-7.0942974999999991E-2</v>
      </c>
      <c r="I126" s="30">
        <v>7.0942974999999991E-2</v>
      </c>
    </row>
    <row r="127" spans="1:9" x14ac:dyDescent="0.35">
      <c r="A127" s="29" t="s">
        <v>209</v>
      </c>
      <c r="B127" s="29" t="s">
        <v>114</v>
      </c>
      <c r="C127" s="29" t="s">
        <v>115</v>
      </c>
      <c r="D127" s="29" t="s">
        <v>116</v>
      </c>
      <c r="E127" s="29" t="s">
        <v>90</v>
      </c>
      <c r="F127" s="30">
        <v>23.4902524462141</v>
      </c>
      <c r="G127" s="30">
        <v>0.82284072699999999</v>
      </c>
      <c r="H127" s="30">
        <v>0.42471568199999998</v>
      </c>
      <c r="I127" s="30">
        <v>0.39812504500000001</v>
      </c>
    </row>
    <row r="128" spans="1:9" x14ac:dyDescent="0.35">
      <c r="A128" s="29"/>
      <c r="B128" s="29"/>
      <c r="C128" s="29"/>
      <c r="D128" s="29"/>
      <c r="E128" s="29"/>
      <c r="F128" s="30"/>
      <c r="G128" s="30"/>
      <c r="H128" s="30"/>
      <c r="I128" s="30"/>
    </row>
    <row r="129" spans="1:9" x14ac:dyDescent="0.35">
      <c r="A129" s="31" t="s">
        <v>210</v>
      </c>
      <c r="B129" s="31"/>
      <c r="C129" s="31"/>
      <c r="D129" s="31"/>
      <c r="E129" s="31"/>
      <c r="F129" s="32">
        <f>SUBTOTAL(9,F2:F128)</f>
        <v>288078.01794371527</v>
      </c>
      <c r="G129" s="32">
        <f>SUBTOTAL(9,G2:G128)</f>
        <v>42696.72908292299</v>
      </c>
      <c r="H129" s="32">
        <f>SUBTOTAL(9,H2:H128)</f>
        <v>6208.4747187891144</v>
      </c>
      <c r="I129" s="32">
        <f>SUBTOTAL(9,I2:I128)</f>
        <v>36488.254364133885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Sheet3</vt:lpstr>
      <vt:lpstr>Sheet2</vt:lpstr>
      <vt:lpstr>Sheet1</vt:lpstr>
      <vt:lpstr>Scheme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Maheshwaram (Sales, KMAMC)</dc:creator>
  <cp:lastModifiedBy>Niranjan Maheshwaram (Sales, KMAMC)</cp:lastModifiedBy>
  <dcterms:created xsi:type="dcterms:W3CDTF">2020-06-15T04:08:17Z</dcterms:created>
  <dcterms:modified xsi:type="dcterms:W3CDTF">2026-06-01T07:20:02Z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e9dd6c-139c-4279-81ff-f5bef92f011d_Enabled">
    <vt:lpwstr>true</vt:lpwstr>
  </property>
  <property fmtid="{D5CDD505-2E9C-101B-9397-08002B2CF9AE}" pid="3" name="MSIP_Label_eae9dd6c-139c-4279-81ff-f5bef92f011d_SetDate">
    <vt:lpwstr>2025-01-20T04:44:59Z</vt:lpwstr>
  </property>
  <property fmtid="{D5CDD505-2E9C-101B-9397-08002B2CF9AE}" pid="4" name="MSIP_Label_eae9dd6c-139c-4279-81ff-f5bef92f011d_Method">
    <vt:lpwstr>Standard</vt:lpwstr>
  </property>
  <property fmtid="{D5CDD505-2E9C-101B-9397-08002B2CF9AE}" pid="5" name="MSIP_Label_eae9dd6c-139c-4279-81ff-f5bef92f011d_Name">
    <vt:lpwstr>General</vt:lpwstr>
  </property>
  <property fmtid="{D5CDD505-2E9C-101B-9397-08002B2CF9AE}" pid="6" name="MSIP_Label_eae9dd6c-139c-4279-81ff-f5bef92f011d_SiteId">
    <vt:lpwstr>73a4c997-ac5a-4bcd-81f3-fd25589a48b7</vt:lpwstr>
  </property>
  <property fmtid="{D5CDD505-2E9C-101B-9397-08002B2CF9AE}" pid="7" name="MSIP_Label_eae9dd6c-139c-4279-81ff-f5bef92f011d_ActionId">
    <vt:lpwstr>5aad1bbb-0246-41ac-b7d4-a932dc7754e0</vt:lpwstr>
  </property>
  <property fmtid="{D5CDD505-2E9C-101B-9397-08002B2CF9AE}" pid="8" name="MSIP_Label_eae9dd6c-139c-4279-81ff-f5bef92f011d_ContentBits">
    <vt:lpwstr>0</vt:lpwstr>
  </property>
</Properties>
</file>