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kotak weekly dashboard\"/>
    </mc:Choice>
  </mc:AlternateContent>
  <xr:revisionPtr revIDLastSave="0" documentId="13_ncr:1_{9EA4D8A0-C37D-4155-B32E-52DCCBA4A4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M-YT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" i="1" l="1"/>
  <c r="AD4" i="1"/>
  <c r="AF4" i="1" a="1"/>
  <c r="AF4" i="1" s="1"/>
  <c r="AG4" i="1" a="1"/>
  <c r="AG4" i="1" s="1"/>
  <c r="AI4" i="1" a="1"/>
  <c r="AI4" i="1" s="1"/>
  <c r="AJ4" i="1" a="1"/>
  <c r="AJ4" i="1" s="1"/>
  <c r="AC5" i="1"/>
  <c r="AD5" i="1"/>
  <c r="AF5" i="1" a="1"/>
  <c r="AF5" i="1" s="1"/>
  <c r="AG5" i="1" a="1"/>
  <c r="AG5" i="1" s="1"/>
  <c r="AI5" i="1" a="1"/>
  <c r="AI5" i="1" s="1"/>
  <c r="AJ5" i="1" a="1"/>
  <c r="AJ5" i="1" s="1"/>
  <c r="AC6" i="1"/>
  <c r="AD6" i="1"/>
  <c r="AF6" i="1" a="1"/>
  <c r="AF6" i="1" s="1"/>
  <c r="AG6" i="1" a="1"/>
  <c r="AG6" i="1" s="1"/>
  <c r="AI6" i="1" a="1"/>
  <c r="AI6" i="1" s="1"/>
  <c r="AJ6" i="1" a="1"/>
  <c r="AJ6" i="1" s="1"/>
  <c r="AC7" i="1"/>
  <c r="AD7" i="1"/>
  <c r="AF7" i="1" a="1"/>
  <c r="AF7" i="1" s="1"/>
  <c r="AG7" i="1" a="1"/>
  <c r="AG7" i="1" s="1"/>
  <c r="AI7" i="1" a="1"/>
  <c r="AI7" i="1" s="1"/>
  <c r="AJ7" i="1" a="1"/>
  <c r="AJ7" i="1" s="1"/>
  <c r="AC8" i="1"/>
  <c r="AD8" i="1"/>
  <c r="AF8" i="1" a="1"/>
  <c r="AF8" i="1" s="1"/>
  <c r="AG8" i="1" a="1"/>
  <c r="AG8" i="1" s="1"/>
  <c r="AI8" i="1" a="1"/>
  <c r="AI8" i="1" s="1"/>
  <c r="AJ8" i="1" a="1"/>
  <c r="AJ8" i="1" s="1"/>
  <c r="AC9" i="1"/>
  <c r="AD9" i="1"/>
  <c r="AF9" i="1" a="1"/>
  <c r="AF9" i="1" s="1"/>
  <c r="AG9" i="1" a="1"/>
  <c r="AG9" i="1" s="1"/>
  <c r="AI9" i="1" a="1"/>
  <c r="AI9" i="1" s="1"/>
  <c r="AJ9" i="1" a="1"/>
  <c r="AJ9" i="1" s="1"/>
  <c r="AC10" i="1"/>
  <c r="AD10" i="1"/>
  <c r="AE10" i="1" s="1"/>
  <c r="AF10" i="1" a="1"/>
  <c r="AF10" i="1" s="1"/>
  <c r="AG10" i="1" a="1"/>
  <c r="AG10" i="1" s="1"/>
  <c r="AI10" i="1" a="1"/>
  <c r="AI10" i="1" s="1"/>
  <c r="AJ10" i="1" a="1"/>
  <c r="AJ10" i="1" s="1"/>
  <c r="AC11" i="1"/>
  <c r="AD11" i="1"/>
  <c r="AF11" i="1" a="1"/>
  <c r="AF11" i="1" s="1"/>
  <c r="AG11" i="1" a="1"/>
  <c r="AG11" i="1" s="1"/>
  <c r="AI11" i="1" a="1"/>
  <c r="AI11" i="1" s="1"/>
  <c r="AJ11" i="1" a="1"/>
  <c r="AJ11" i="1" s="1"/>
  <c r="AC12" i="1"/>
  <c r="AD12" i="1"/>
  <c r="AF12" i="1" a="1"/>
  <c r="AF12" i="1" s="1"/>
  <c r="AG12" i="1" a="1"/>
  <c r="AG12" i="1" s="1"/>
  <c r="AI12" i="1" a="1"/>
  <c r="AI12" i="1" s="1"/>
  <c r="AJ12" i="1" a="1"/>
  <c r="AJ12" i="1" s="1"/>
  <c r="AC13" i="1"/>
  <c r="AD13" i="1"/>
  <c r="AF13" i="1" a="1"/>
  <c r="AF13" i="1" s="1"/>
  <c r="AG13" i="1" a="1"/>
  <c r="AG13" i="1" s="1"/>
  <c r="AI13" i="1" a="1"/>
  <c r="AI13" i="1" s="1"/>
  <c r="AJ13" i="1" a="1"/>
  <c r="AJ13" i="1" s="1"/>
  <c r="AC14" i="1"/>
  <c r="AD14" i="1"/>
  <c r="AF14" i="1" a="1"/>
  <c r="AF14" i="1" s="1"/>
  <c r="AG14" i="1" a="1"/>
  <c r="AG14" i="1" s="1"/>
  <c r="AI14" i="1" a="1"/>
  <c r="AI14" i="1" s="1"/>
  <c r="AJ14" i="1" a="1"/>
  <c r="AJ14" i="1" s="1"/>
  <c r="AC15" i="1"/>
  <c r="AD15" i="1"/>
  <c r="AF15" i="1" a="1"/>
  <c r="AF15" i="1" s="1"/>
  <c r="AG15" i="1" a="1"/>
  <c r="AG15" i="1" s="1"/>
  <c r="AI15" i="1" a="1"/>
  <c r="AI15" i="1" s="1"/>
  <c r="AJ15" i="1" a="1"/>
  <c r="AJ15" i="1" s="1"/>
  <c r="AC16" i="1"/>
  <c r="AD16" i="1"/>
  <c r="AF16" i="1" a="1"/>
  <c r="AF16" i="1" s="1"/>
  <c r="AG16" i="1" a="1"/>
  <c r="AG16" i="1" s="1"/>
  <c r="AI16" i="1" a="1"/>
  <c r="AI16" i="1" s="1"/>
  <c r="AJ16" i="1" a="1"/>
  <c r="AJ16" i="1" s="1"/>
  <c r="AC17" i="1"/>
  <c r="AD17" i="1"/>
  <c r="AF17" i="1" a="1"/>
  <c r="AF17" i="1" s="1"/>
  <c r="AG17" i="1" a="1"/>
  <c r="AG17" i="1" s="1"/>
  <c r="AI17" i="1" a="1"/>
  <c r="AI17" i="1" s="1"/>
  <c r="AJ17" i="1" a="1"/>
  <c r="AJ17" i="1" s="1"/>
  <c r="AC18" i="1"/>
  <c r="AD18" i="1"/>
  <c r="AF18" i="1" a="1"/>
  <c r="AF18" i="1" s="1"/>
  <c r="AG18" i="1" a="1"/>
  <c r="AG18" i="1" s="1"/>
  <c r="AI18" i="1" a="1"/>
  <c r="AI18" i="1" s="1"/>
  <c r="AJ18" i="1" a="1"/>
  <c r="AJ18" i="1" s="1"/>
  <c r="AC19" i="1"/>
  <c r="AD19" i="1"/>
  <c r="AE19" i="1" s="1"/>
  <c r="AF19" i="1" a="1"/>
  <c r="AF19" i="1" s="1"/>
  <c r="AG19" i="1" a="1"/>
  <c r="AG19" i="1" s="1"/>
  <c r="AI19" i="1" a="1"/>
  <c r="AI19" i="1" s="1"/>
  <c r="AJ19" i="1" a="1"/>
  <c r="AJ19" i="1" s="1"/>
  <c r="AC20" i="1"/>
  <c r="AD20" i="1"/>
  <c r="AF20" i="1" a="1"/>
  <c r="AF20" i="1" s="1"/>
  <c r="AG20" i="1" a="1"/>
  <c r="AG20" i="1" s="1"/>
  <c r="AI20" i="1" a="1"/>
  <c r="AI20" i="1" s="1"/>
  <c r="AJ20" i="1" a="1"/>
  <c r="AJ20" i="1" s="1"/>
  <c r="AC21" i="1"/>
  <c r="AD21" i="1"/>
  <c r="AF21" i="1" a="1"/>
  <c r="AF21" i="1" s="1"/>
  <c r="AG21" i="1" a="1"/>
  <c r="AG21" i="1" s="1"/>
  <c r="AI21" i="1" a="1"/>
  <c r="AI21" i="1" s="1"/>
  <c r="AJ21" i="1" a="1"/>
  <c r="AJ21" i="1" s="1"/>
  <c r="AC22" i="1"/>
  <c r="AD22" i="1"/>
  <c r="AF22" i="1" a="1"/>
  <c r="AF22" i="1" s="1"/>
  <c r="AG22" i="1" a="1"/>
  <c r="AG22" i="1" s="1"/>
  <c r="AI22" i="1" a="1"/>
  <c r="AI22" i="1" s="1"/>
  <c r="AJ22" i="1" a="1"/>
  <c r="AJ22" i="1" s="1"/>
  <c r="AC23" i="1"/>
  <c r="AD23" i="1"/>
  <c r="AF23" i="1" a="1"/>
  <c r="AF23" i="1" s="1"/>
  <c r="AG23" i="1" a="1"/>
  <c r="AG23" i="1" s="1"/>
  <c r="AI23" i="1" a="1"/>
  <c r="AI23" i="1" s="1"/>
  <c r="AJ23" i="1" a="1"/>
  <c r="AJ23" i="1" s="1"/>
  <c r="AC24" i="1"/>
  <c r="AD24" i="1"/>
  <c r="AF24" i="1" a="1"/>
  <c r="AF24" i="1" s="1"/>
  <c r="AG24" i="1" a="1"/>
  <c r="AG24" i="1" s="1"/>
  <c r="AI24" i="1" a="1"/>
  <c r="AI24" i="1" s="1"/>
  <c r="AJ24" i="1" a="1"/>
  <c r="AJ24" i="1" s="1"/>
  <c r="AC25" i="1"/>
  <c r="AD25" i="1"/>
  <c r="AE25" i="1" s="1"/>
  <c r="AF25" i="1" a="1"/>
  <c r="AF25" i="1" s="1"/>
  <c r="AG25" i="1" a="1"/>
  <c r="AG25" i="1" s="1"/>
  <c r="AI25" i="1" a="1"/>
  <c r="AI25" i="1" s="1"/>
  <c r="AJ25" i="1" a="1"/>
  <c r="AJ25" i="1" s="1"/>
  <c r="AC26" i="1"/>
  <c r="AD26" i="1"/>
  <c r="AF26" i="1" a="1"/>
  <c r="AF26" i="1" s="1"/>
  <c r="AG26" i="1" a="1"/>
  <c r="AG26" i="1" s="1"/>
  <c r="AI26" i="1" a="1"/>
  <c r="AI26" i="1" s="1"/>
  <c r="AJ26" i="1" a="1"/>
  <c r="AJ26" i="1" s="1"/>
  <c r="AC27" i="1"/>
  <c r="AD27" i="1"/>
  <c r="AF27" i="1" a="1"/>
  <c r="AF27" i="1" s="1"/>
  <c r="AG27" i="1" a="1"/>
  <c r="AG27" i="1" s="1"/>
  <c r="AI27" i="1" a="1"/>
  <c r="AI27" i="1" s="1"/>
  <c r="AJ27" i="1" a="1"/>
  <c r="AJ27" i="1" s="1"/>
  <c r="AC28" i="1"/>
  <c r="AD28" i="1"/>
  <c r="AF28" i="1" a="1"/>
  <c r="AF28" i="1" s="1"/>
  <c r="AG28" i="1" a="1"/>
  <c r="AG28" i="1" s="1"/>
  <c r="AI28" i="1" a="1"/>
  <c r="AI28" i="1" s="1"/>
  <c r="AJ28" i="1" a="1"/>
  <c r="AJ28" i="1" s="1"/>
  <c r="AC29" i="1"/>
  <c r="AD29" i="1"/>
  <c r="AF29" i="1" a="1"/>
  <c r="AF29" i="1" s="1"/>
  <c r="AG29" i="1" a="1"/>
  <c r="AG29" i="1" s="1"/>
  <c r="AI29" i="1" a="1"/>
  <c r="AI29" i="1" s="1"/>
  <c r="AJ29" i="1" a="1"/>
  <c r="AJ29" i="1" s="1"/>
  <c r="AC30" i="1"/>
  <c r="AD30" i="1"/>
  <c r="AF30" i="1" a="1"/>
  <c r="AF30" i="1" s="1"/>
  <c r="AG30" i="1" a="1"/>
  <c r="AG30" i="1" s="1"/>
  <c r="AI30" i="1" a="1"/>
  <c r="AI30" i="1" s="1"/>
  <c r="AJ30" i="1" a="1"/>
  <c r="AJ30" i="1" s="1"/>
  <c r="AC31" i="1"/>
  <c r="AD31" i="1"/>
  <c r="AE31" i="1"/>
  <c r="AF31" i="1" a="1"/>
  <c r="AF31" i="1" s="1"/>
  <c r="AG31" i="1" a="1"/>
  <c r="AG31" i="1" s="1"/>
  <c r="AI31" i="1" a="1"/>
  <c r="AI31" i="1" s="1"/>
  <c r="AJ31" i="1" a="1"/>
  <c r="AJ31" i="1" s="1"/>
  <c r="AC32" i="1"/>
  <c r="AD32" i="1"/>
  <c r="AF32" i="1" a="1"/>
  <c r="AF32" i="1" s="1"/>
  <c r="AG32" i="1" a="1"/>
  <c r="AG32" i="1" s="1"/>
  <c r="AI32" i="1" a="1"/>
  <c r="AI32" i="1" s="1"/>
  <c r="AJ32" i="1" a="1"/>
  <c r="AJ32" i="1" s="1"/>
  <c r="AC33" i="1"/>
  <c r="AD33" i="1"/>
  <c r="AF33" i="1" a="1"/>
  <c r="AF33" i="1" s="1"/>
  <c r="AG33" i="1" a="1"/>
  <c r="AG33" i="1" s="1"/>
  <c r="AI33" i="1" a="1"/>
  <c r="AI33" i="1" s="1"/>
  <c r="AJ33" i="1" a="1"/>
  <c r="AJ33" i="1" s="1"/>
  <c r="AC34" i="1"/>
  <c r="AD34" i="1"/>
  <c r="AF34" i="1" a="1"/>
  <c r="AF34" i="1" s="1"/>
  <c r="AG34" i="1" a="1"/>
  <c r="AG34" i="1" s="1"/>
  <c r="AI34" i="1" a="1"/>
  <c r="AI34" i="1" s="1"/>
  <c r="AJ34" i="1" a="1"/>
  <c r="AJ34" i="1" s="1"/>
  <c r="AC35" i="1"/>
  <c r="AD35" i="1"/>
  <c r="AF35" i="1" a="1"/>
  <c r="AF35" i="1" s="1"/>
  <c r="AG35" i="1" a="1"/>
  <c r="AG35" i="1" s="1"/>
  <c r="AI35" i="1" a="1"/>
  <c r="AI35" i="1" s="1"/>
  <c r="AJ35" i="1" a="1"/>
  <c r="AJ35" i="1" s="1"/>
  <c r="AC36" i="1"/>
  <c r="AD36" i="1"/>
  <c r="AF36" i="1" a="1"/>
  <c r="AF36" i="1" s="1"/>
  <c r="AG36" i="1" a="1"/>
  <c r="AG36" i="1" s="1"/>
  <c r="AI36" i="1" a="1"/>
  <c r="AI36" i="1" s="1"/>
  <c r="AJ36" i="1" a="1"/>
  <c r="AJ36" i="1" s="1"/>
  <c r="AC37" i="1"/>
  <c r="AD37" i="1"/>
  <c r="AF37" i="1" a="1"/>
  <c r="AF37" i="1" s="1"/>
  <c r="AG37" i="1" a="1"/>
  <c r="AG37" i="1" s="1"/>
  <c r="AI37" i="1" a="1"/>
  <c r="AI37" i="1" s="1"/>
  <c r="AJ37" i="1" a="1"/>
  <c r="AJ37" i="1" s="1"/>
  <c r="AC38" i="1"/>
  <c r="AD38" i="1"/>
  <c r="AF38" i="1" a="1"/>
  <c r="AF38" i="1" s="1"/>
  <c r="AH38" i="1" s="1"/>
  <c r="AG38" i="1" a="1"/>
  <c r="AG38" i="1" s="1"/>
  <c r="AI38" i="1" a="1"/>
  <c r="AI38" i="1" s="1"/>
  <c r="AJ38" i="1" a="1"/>
  <c r="AJ38" i="1" s="1"/>
  <c r="AC39" i="1"/>
  <c r="AD39" i="1"/>
  <c r="AF39" i="1" a="1"/>
  <c r="AF39" i="1" s="1"/>
  <c r="AG39" i="1" a="1"/>
  <c r="AG39" i="1" s="1"/>
  <c r="AI39" i="1" a="1"/>
  <c r="AI39" i="1" s="1"/>
  <c r="AJ39" i="1" a="1"/>
  <c r="AJ39" i="1"/>
  <c r="AC40" i="1"/>
  <c r="AD40" i="1"/>
  <c r="AF40" i="1" a="1"/>
  <c r="AF40" i="1" s="1"/>
  <c r="AG40" i="1" a="1"/>
  <c r="AG40" i="1" s="1"/>
  <c r="AI40" i="1" a="1"/>
  <c r="AI40" i="1" s="1"/>
  <c r="AJ40" i="1" a="1"/>
  <c r="AJ40" i="1" s="1"/>
  <c r="AC41" i="1"/>
  <c r="AD41" i="1"/>
  <c r="AF41" i="1" a="1"/>
  <c r="AF41" i="1" s="1"/>
  <c r="AG41" i="1" a="1"/>
  <c r="AG41" i="1" s="1"/>
  <c r="AI41" i="1" a="1"/>
  <c r="AI41" i="1" s="1"/>
  <c r="AJ41" i="1" a="1"/>
  <c r="AJ41" i="1" s="1"/>
  <c r="AC2" i="1"/>
  <c r="AC1" i="1"/>
  <c r="AK27" i="1" l="1"/>
  <c r="AK23" i="1"/>
  <c r="AH5" i="1"/>
  <c r="AE5" i="1"/>
  <c r="AE29" i="1"/>
  <c r="AE36" i="1"/>
  <c r="AE34" i="1"/>
  <c r="AH20" i="1"/>
  <c r="AH14" i="1"/>
  <c r="AH4" i="1"/>
  <c r="AH17" i="1"/>
  <c r="AE21" i="1"/>
  <c r="AE17" i="1"/>
  <c r="AE41" i="1"/>
  <c r="AH33" i="1"/>
  <c r="AE24" i="1"/>
  <c r="AE18" i="1"/>
  <c r="AE14" i="1"/>
  <c r="AE6" i="1"/>
  <c r="AE35" i="1"/>
  <c r="AE28" i="1"/>
  <c r="AK36" i="1"/>
  <c r="AE33" i="1"/>
  <c r="AE26" i="1"/>
  <c r="AE15" i="1"/>
  <c r="AE11" i="1"/>
  <c r="AE22" i="1"/>
  <c r="AE38" i="1"/>
  <c r="AE9" i="1"/>
  <c r="AE7" i="1"/>
  <c r="AH39" i="1"/>
  <c r="AK8" i="1"/>
  <c r="AE32" i="1"/>
  <c r="AK28" i="1"/>
  <c r="AE12" i="1"/>
  <c r="AE37" i="1"/>
  <c r="AE30" i="1"/>
  <c r="AH8" i="1"/>
  <c r="AH34" i="1"/>
  <c r="AK29" i="1"/>
  <c r="AH18" i="1"/>
  <c r="AK37" i="1"/>
  <c r="AK32" i="1"/>
  <c r="AH13" i="1"/>
  <c r="AE13" i="1"/>
  <c r="AH37" i="1"/>
  <c r="AH32" i="1"/>
  <c r="AE16" i="1"/>
  <c r="AE8" i="1"/>
  <c r="AE39" i="1"/>
  <c r="AH27" i="1"/>
  <c r="AH6" i="1"/>
  <c r="AK41" i="1"/>
  <c r="AK38" i="1"/>
  <c r="AK33" i="1"/>
  <c r="AK25" i="1"/>
  <c r="AK20" i="1"/>
  <c r="AE40" i="1"/>
  <c r="AH30" i="1"/>
  <c r="AK39" i="1"/>
  <c r="AK15" i="1"/>
  <c r="AE27" i="1"/>
  <c r="AH25" i="1"/>
  <c r="AK18" i="1"/>
  <c r="AE23" i="1"/>
  <c r="AE20" i="1"/>
  <c r="AK13" i="1"/>
  <c r="AE4" i="1"/>
  <c r="AK16" i="1"/>
  <c r="AK11" i="1"/>
  <c r="AK22" i="1"/>
  <c r="AK9" i="1"/>
  <c r="AK40" i="1"/>
  <c r="AH29" i="1"/>
  <c r="AH11" i="1"/>
  <c r="AH40" i="1"/>
  <c r="AK30" i="1"/>
  <c r="AH35" i="1"/>
  <c r="AH22" i="1"/>
  <c r="AK17" i="1"/>
  <c r="AK12" i="1"/>
  <c r="AH9" i="1"/>
  <c r="AK35" i="1"/>
  <c r="AK14" i="1"/>
  <c r="AK10" i="1"/>
  <c r="AK4" i="1"/>
  <c r="AH16" i="1"/>
  <c r="AH12" i="1"/>
  <c r="AK7" i="1"/>
  <c r="AH26" i="1"/>
  <c r="AH19" i="1"/>
  <c r="AH21" i="1"/>
  <c r="AH24" i="1"/>
  <c r="AH41" i="1"/>
  <c r="AK24" i="1"/>
  <c r="AK19" i="1"/>
  <c r="AK6" i="1"/>
  <c r="AK34" i="1"/>
  <c r="AK31" i="1"/>
  <c r="AH36" i="1"/>
  <c r="AH28" i="1"/>
  <c r="AH23" i="1"/>
  <c r="AH10" i="1"/>
  <c r="AH7" i="1"/>
  <c r="AH31" i="1"/>
  <c r="AK26" i="1"/>
  <c r="AK21" i="1"/>
  <c r="AH15" i="1"/>
  <c r="AK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<sst xmlns="http://schemas.openxmlformats.org/spreadsheetml/2006/main" count="132" uniqueCount="52">
  <si>
    <t>AUM (as on 30th APR'26)</t>
  </si>
  <si>
    <t>YTD Gross Sales</t>
  </si>
  <si>
    <t>YTD Net Sales</t>
  </si>
  <si>
    <t>AUM (as on 31th MAY'26)</t>
  </si>
  <si>
    <t>AUM (as on 07th JUN'26)</t>
  </si>
  <si>
    <t>ASSET (AMC)</t>
  </si>
  <si>
    <t>Kotak</t>
  </si>
  <si>
    <t>Industry</t>
  </si>
  <si>
    <t>MS</t>
  </si>
  <si>
    <t>ARBITRAGE FUND Total</t>
  </si>
  <si>
    <t>Equity Savings Total</t>
  </si>
  <si>
    <t>N.A</t>
  </si>
  <si>
    <t>BAAF Total</t>
  </si>
  <si>
    <t>Balanced Total</t>
  </si>
  <si>
    <t>ELSS Total</t>
  </si>
  <si>
    <t>Dividend Yield Fund</t>
  </si>
  <si>
    <t>Equity Others (C)</t>
  </si>
  <si>
    <t>Focused Fund</t>
  </si>
  <si>
    <t>Large &amp; Mid Cap Fund</t>
  </si>
  <si>
    <t>Large Cap Fund</t>
  </si>
  <si>
    <t>Mid Cap Fund</t>
  </si>
  <si>
    <t>Multi Cap Fund</t>
  </si>
  <si>
    <t>Sectoral/Thematic Funds</t>
  </si>
  <si>
    <t>Small Cap Fund</t>
  </si>
  <si>
    <t>Flexi Cap Fund</t>
  </si>
  <si>
    <t>Multi Asset Allocation</t>
  </si>
  <si>
    <t>Value Fund/Contra Fund</t>
  </si>
  <si>
    <t>Equity Total</t>
  </si>
  <si>
    <t>INDEX FUND Total</t>
  </si>
  <si>
    <t>Solution Oriented Total</t>
  </si>
  <si>
    <t>OTHER ETF Total</t>
  </si>
  <si>
    <t>PURE EQUITY</t>
  </si>
  <si>
    <t>Equity</t>
  </si>
  <si>
    <t>Liquid Total</t>
  </si>
  <si>
    <t>DEBT ETF Total</t>
  </si>
  <si>
    <t>FMP</t>
  </si>
  <si>
    <t>CAPITAL PROTECT</t>
  </si>
  <si>
    <t>Credit Risk Total</t>
  </si>
  <si>
    <t>Debt Hybrid Total</t>
  </si>
  <si>
    <t>Duration Total</t>
  </si>
  <si>
    <t>Other Debt Total</t>
  </si>
  <si>
    <t>FOF-OVERSEAS Total</t>
  </si>
  <si>
    <t>Others Total</t>
  </si>
  <si>
    <t>Short Duration Total</t>
  </si>
  <si>
    <t>ULTRA SHORT TERM Total</t>
  </si>
  <si>
    <t>DEBT</t>
  </si>
  <si>
    <t>Total</t>
  </si>
  <si>
    <t>Summary-  (01ST To 30TH APR'26)</t>
  </si>
  <si>
    <t>Gross Sales</t>
  </si>
  <si>
    <t>Net Sales</t>
  </si>
  <si>
    <t>Summary-  (01ST To 31ST MAY'26)</t>
  </si>
  <si>
    <t>Summary-  (01ST To 07TH JUN'26)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</si>
</sst>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0%;\-0.00%;0.0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D9E2F3"/>
      </patternFill>
    </fill>
    <fill>
      <patternFill patternType="solid">
        <fgColor rgb="FFF8CBAD"/>
      </patternFill>
    </fill>
    <fill>
      <patternFill patternType="solid">
        <fgColor rgb="FFBDD7E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center" vertical="center"/>
    </xf>
    <xf numFmtId="10" fontId="3" fillId="5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64" fontId="2" fillId="6" borderId="1" xfId="0" applyNumberFormat="1" applyFont="1" applyFill="1" applyBorder="1" applyAlignment="1">
      <alignment horizontal="center" vertical="center"/>
    </xf>
    <xf numFmtId="10" fontId="2" fillId="6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164" fontId="2" fillId="7" borderId="1" xfId="0" applyNumberFormat="1" applyFont="1" applyFill="1" applyBorder="1" applyAlignment="1">
      <alignment horizontal="center" vertical="center"/>
    </xf>
    <xf numFmtId="10" fontId="2" fillId="7" borderId="1" xfId="0" applyNumberFormat="1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164" fontId="1" fillId="8" borderId="1" xfId="0" applyNumberFormat="1" applyFont="1" applyFill="1" applyBorder="1" applyAlignment="1">
      <alignment horizontal="center" vertical="center"/>
    </xf>
    <xf numFmtId="10" fontId="1" fillId="8" borderId="1" xfId="0" applyNumberFormat="1" applyFont="1" applyFill="1" applyBorder="1" applyAlignment="1">
      <alignment horizontal="center" vertical="center"/>
    </xf>
    <xf numFmtId="165" fontId="1" fillId="8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92E5031-FA3B-49E0-AB4B-FAA41F7345C3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5D35C99-EC27-436C-AEEB-6D025D8CB15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8318a3b-9913-4b51-b094-f12379ff6ac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1"/>
  <sheetViews>
    <sheetView showGridLines="0" tabSelected="1" zoomScale="94" workbookViewId="0">
      <pane xSplit="1" ySplit="3" topLeftCell="Z4" activePane="bottomRight" state="frozen"/>
      <selection pane="topRight"/>
      <selection pane="bottomLeft"/>
      <selection pane="bottomRight" activeCell="AM14" sqref="AM14"/>
    </sheetView>
  </sheetViews>
  <sheetFormatPr defaultRowHeight="14.4" x14ac:dyDescent="0.3"/>
  <cols>
    <col min="1" max="1" width="26" customWidth="1"/>
    <col min="2" max="37" width="12.21875" customWidth="1"/>
  </cols>
  <sheetData>
    <row r="1" spans="1:37" ht="14.55" customHeight="1" x14ac:dyDescent="0.3">
      <c r="A1" s="1"/>
      <c r="B1" s="31" t="s">
        <v>47</v>
      </c>
      <c r="C1" s="32"/>
      <c r="D1" s="32"/>
      <c r="E1" s="32"/>
      <c r="F1" s="32"/>
      <c r="G1" s="32"/>
      <c r="H1" s="32"/>
      <c r="I1" s="32"/>
      <c r="J1" s="32"/>
      <c r="K1" s="31" t="s">
        <v>50</v>
      </c>
      <c r="L1" s="32"/>
      <c r="M1" s="32"/>
      <c r="N1" s="32"/>
      <c r="O1" s="32"/>
      <c r="P1" s="32"/>
      <c r="Q1" s="32"/>
      <c r="R1" s="32"/>
      <c r="S1" s="32"/>
      <c r="T1" s="31" t="s">
        <v>51</v>
      </c>
      <c r="U1" s="32"/>
      <c r="V1" s="32"/>
      <c r="W1" s="32"/>
      <c r="X1" s="32"/>
      <c r="Y1" s="32"/>
      <c r="Z1" s="32"/>
      <c r="AA1" s="32"/>
      <c r="AB1" s="32"/>
      <c r="AC1" s="34" t="str">
        <f ca="1">_xlfn.LET(_xlpm.firstHdr,$B$1,_xlpm.lastHdr,OFFSET(AF1,0,-12),_xlpm.startDay,_xlfn.TEXTBEFORE(_xlfn.TEXTAFTER(_xlpm.firstHdr,"(")," To "),_xlpm.firstEnd,_xlfn.TEXTBEFORE(_xlfn.TEXTAFTER(_xlpm.firstHdr," To "),")"),_xlpm.startMonth,_xlfn.TEXTBEFORE(_xlfn.TEXTAFTER(_xlpm.firstEnd," "),"'"),_xlpm.latestEnd,_xlfn.TEXTBEFORE(_xlfn.TEXTAFTER(_xlpm.lastHdr," To "),")"),"Summary-  ("&amp;_xlpm.startDay&amp;" "&amp;_xlpm.startMonth&amp;"  To "&amp;_xlpm.latestEnd&amp;")")</f>
        <v>Summary-  (01ST APR  To 07TH JUN'26)</v>
      </c>
      <c r="AD1" s="35"/>
      <c r="AE1" s="35"/>
      <c r="AF1" s="35"/>
      <c r="AG1" s="35"/>
      <c r="AH1" s="35"/>
      <c r="AI1" s="35"/>
      <c r="AJ1" s="35"/>
      <c r="AK1" s="36"/>
    </row>
    <row r="2" spans="1:37" ht="14.55" customHeight="1" x14ac:dyDescent="0.3">
      <c r="A2" s="1"/>
      <c r="B2" s="33" t="s">
        <v>0</v>
      </c>
      <c r="C2" s="32"/>
      <c r="D2" s="32"/>
      <c r="E2" s="33" t="s">
        <v>48</v>
      </c>
      <c r="F2" s="32"/>
      <c r="G2" s="32"/>
      <c r="H2" s="33" t="s">
        <v>49</v>
      </c>
      <c r="I2" s="32"/>
      <c r="J2" s="32"/>
      <c r="K2" s="33" t="s">
        <v>3</v>
      </c>
      <c r="L2" s="32"/>
      <c r="M2" s="32"/>
      <c r="N2" s="33" t="s">
        <v>48</v>
      </c>
      <c r="O2" s="32"/>
      <c r="P2" s="32"/>
      <c r="Q2" s="33" t="s">
        <v>49</v>
      </c>
      <c r="R2" s="32"/>
      <c r="S2" s="32"/>
      <c r="T2" s="33" t="s">
        <v>4</v>
      </c>
      <c r="U2" s="32"/>
      <c r="V2" s="32"/>
      <c r="W2" s="33" t="s">
        <v>48</v>
      </c>
      <c r="X2" s="32"/>
      <c r="Y2" s="32"/>
      <c r="Z2" s="33" t="s">
        <v>49</v>
      </c>
      <c r="AA2" s="32"/>
      <c r="AB2" s="32"/>
      <c r="AC2" s="37" t="str">
        <f ca="1">OFFSET(AF2,0,-12)</f>
        <v>AUM (as on 07th JUN'26)</v>
      </c>
      <c r="AD2" s="38"/>
      <c r="AE2" s="39"/>
      <c r="AF2" s="37" t="s">
        <v>1</v>
      </c>
      <c r="AG2" s="38"/>
      <c r="AH2" s="39"/>
      <c r="AI2" s="37" t="s">
        <v>2</v>
      </c>
      <c r="AJ2" s="38"/>
      <c r="AK2" s="39"/>
    </row>
    <row r="3" spans="1:37" ht="14.55" customHeight="1" x14ac:dyDescent="0.3">
      <c r="A3" s="2" t="s">
        <v>5</v>
      </c>
      <c r="B3" s="2" t="s">
        <v>6</v>
      </c>
      <c r="C3" s="2" t="s">
        <v>7</v>
      </c>
      <c r="D3" s="2" t="s">
        <v>8</v>
      </c>
      <c r="E3" s="2" t="s">
        <v>6</v>
      </c>
      <c r="F3" s="2" t="s">
        <v>7</v>
      </c>
      <c r="G3" s="2" t="s">
        <v>8</v>
      </c>
      <c r="H3" s="2" t="s">
        <v>6</v>
      </c>
      <c r="I3" s="2" t="s">
        <v>7</v>
      </c>
      <c r="J3" s="2" t="s">
        <v>8</v>
      </c>
      <c r="K3" s="2" t="s">
        <v>6</v>
      </c>
      <c r="L3" s="2" t="s">
        <v>7</v>
      </c>
      <c r="M3" s="2" t="s">
        <v>8</v>
      </c>
      <c r="N3" s="2" t="s">
        <v>6</v>
      </c>
      <c r="O3" s="2" t="s">
        <v>7</v>
      </c>
      <c r="P3" s="2" t="s">
        <v>8</v>
      </c>
      <c r="Q3" s="2" t="s">
        <v>6</v>
      </c>
      <c r="R3" s="2" t="s">
        <v>7</v>
      </c>
      <c r="S3" s="2" t="s">
        <v>8</v>
      </c>
      <c r="T3" s="2" t="s">
        <v>6</v>
      </c>
      <c r="U3" s="2" t="s">
        <v>7</v>
      </c>
      <c r="V3" s="2" t="s">
        <v>8</v>
      </c>
      <c r="W3" s="2" t="s">
        <v>6</v>
      </c>
      <c r="X3" s="2" t="s">
        <v>7</v>
      </c>
      <c r="Y3" s="2" t="s">
        <v>8</v>
      </c>
      <c r="Z3" s="2" t="s">
        <v>6</v>
      </c>
      <c r="AA3" s="2" t="s">
        <v>7</v>
      </c>
      <c r="AB3" s="2" t="s">
        <v>8</v>
      </c>
      <c r="AC3" s="2" t="s">
        <v>6</v>
      </c>
      <c r="AD3" s="2" t="s">
        <v>7</v>
      </c>
      <c r="AE3" s="2" t="s">
        <v>8</v>
      </c>
      <c r="AF3" s="2" t="s">
        <v>6</v>
      </c>
      <c r="AG3" s="2" t="s">
        <v>7</v>
      </c>
      <c r="AH3" s="2" t="s">
        <v>8</v>
      </c>
      <c r="AI3" s="2" t="s">
        <v>6</v>
      </c>
      <c r="AJ3" s="2" t="s">
        <v>7</v>
      </c>
      <c r="AK3" s="2" t="s">
        <v>8</v>
      </c>
    </row>
    <row r="4" spans="1:37" ht="14.55" customHeight="1" x14ac:dyDescent="0.3">
      <c r="A4" s="3" t="s">
        <v>9</v>
      </c>
      <c r="B4" s="4">
        <v>70162.379548879893</v>
      </c>
      <c r="C4" s="4">
        <v>284155.290590266</v>
      </c>
      <c r="D4" s="5">
        <v>0.24691561928385711</v>
      </c>
      <c r="E4" s="4">
        <v>6100.2520094590009</v>
      </c>
      <c r="F4" s="4">
        <v>28360.999247851982</v>
      </c>
      <c r="G4" s="5">
        <v>0.21509298583409481</v>
      </c>
      <c r="H4" s="4">
        <v>2764.9319408988099</v>
      </c>
      <c r="I4" s="4">
        <v>10794.701278773009</v>
      </c>
      <c r="J4" s="6">
        <v>0.2561378837166941</v>
      </c>
      <c r="K4" s="4">
        <v>72079.6614843196</v>
      </c>
      <c r="L4" s="4">
        <v>289165.09542737401</v>
      </c>
      <c r="M4" s="5">
        <v>0.24926819531170891</v>
      </c>
      <c r="N4" s="4">
        <v>11938.275896948</v>
      </c>
      <c r="O4" s="4">
        <v>50907.762013621897</v>
      </c>
      <c r="P4" s="5">
        <v>0.23450796940854629</v>
      </c>
      <c r="Q4" s="4">
        <v>4639.6097520697249</v>
      </c>
      <c r="R4" s="4">
        <v>15589.03435013122</v>
      </c>
      <c r="S4" s="6">
        <v>0.29762008652130978</v>
      </c>
      <c r="T4" s="4">
        <v>72511.327850143498</v>
      </c>
      <c r="U4" s="4">
        <v>293787.65150683001</v>
      </c>
      <c r="V4" s="5">
        <v>0.24681543787914359</v>
      </c>
      <c r="W4" s="4">
        <v>13370.281446583</v>
      </c>
      <c r="X4" s="4">
        <v>59418.184936543897</v>
      </c>
      <c r="Y4" s="5">
        <v>0.2250200247762851</v>
      </c>
      <c r="Z4" s="4">
        <v>4791.8571763968521</v>
      </c>
      <c r="AA4" s="4">
        <v>19361.555701255671</v>
      </c>
      <c r="AB4" s="6">
        <v>0.2474933962091736</v>
      </c>
      <c r="AC4" s="4">
        <f t="shared" ref="AC4:AC41" ca="1" si="0">OFFSET(AF4,0,-12)</f>
        <v>72511.327850143498</v>
      </c>
      <c r="AD4" s="4">
        <f t="shared" ref="AD4:AD41" ca="1" si="1">OFFSET(AF4,0,-11)</f>
        <v>293787.65150683001</v>
      </c>
      <c r="AE4" s="6">
        <f t="shared" ref="AE4:AE41" ca="1" si="2">IFERROR(AC4/AD4,0)</f>
        <v>0.24681543787914362</v>
      </c>
      <c r="AF4" s="4" cm="1">
        <f t="array" aca="1" ref="AF4" ca="1">_xlfn.LET(_xlpm.data,$B4:OFFSET(AF4,0,-4),_xlpm.cols,COLUMN(_xlpm.data)-COLUMN($B4),SUMPRODUCT((MOD(_xlpm.cols,9)=3)*IFERROR(1*_xlpm.data,0)))</f>
        <v>31408.80935299</v>
      </c>
      <c r="AG4" s="4" cm="1">
        <f t="array" aca="1" ref="AG4" ca="1">_xlfn.LET(_xlpm.data,$B4:OFFSET(AF4,0,-4),_xlpm.cols,COLUMN(_xlpm.data)-COLUMN($B4),SUMPRODUCT((MOD(_xlpm.cols,9)=4)*IFERROR(1*_xlpm.data,0)))</f>
        <v>138686.94619801777</v>
      </c>
      <c r="AH4" s="6">
        <f t="shared" ref="AH4:AH41" ca="1" si="3">IFERROR(AF4/AG4,0)</f>
        <v>0.2264727158109342</v>
      </c>
      <c r="AI4" s="4" cm="1">
        <f t="array" aca="1" ref="AI4" ca="1">_xlfn.LET(_xlpm.data,$B4:OFFSET(AF4,0,-4),_xlpm.cols,COLUMN(_xlpm.data)-COLUMN($B4),SUMPRODUCT((MOD(_xlpm.cols,9)=6)*IFERROR(1*_xlpm.data,0)))</f>
        <v>12196.398869365386</v>
      </c>
      <c r="AJ4" s="4" cm="1">
        <f t="array" aca="1" ref="AJ4" ca="1">_xlfn.LET(_xlpm.data,$B4:OFFSET(AF4,0,-4),_xlpm.cols,COLUMN(_xlpm.data)-COLUMN($B4),SUMPRODUCT((MOD(_xlpm.cols,9)=7)*IFERROR(1*_xlpm.data,0)))</f>
        <v>45745.291330159904</v>
      </c>
      <c r="AK4" s="6">
        <f t="shared" ref="AK4:AK41" ca="1" si="4">IF(OR(AI4&lt;=0,AJ4&lt;=0),"N.A",AI4/AJ4)</f>
        <v>0.26661539395037781</v>
      </c>
    </row>
    <row r="5" spans="1:37" ht="14.55" customHeight="1" x14ac:dyDescent="0.3">
      <c r="A5" s="7" t="s">
        <v>10</v>
      </c>
      <c r="B5" s="8">
        <v>10036.3683176041</v>
      </c>
      <c r="C5" s="8">
        <v>49054.254773265697</v>
      </c>
      <c r="D5" s="9">
        <v>0.2045973048412075</v>
      </c>
      <c r="E5" s="8">
        <v>298.39971733599998</v>
      </c>
      <c r="F5" s="8">
        <v>1441.645622350246</v>
      </c>
      <c r="G5" s="9">
        <v>0.2069854843033708</v>
      </c>
      <c r="H5" s="8">
        <v>135.33984759273551</v>
      </c>
      <c r="I5" s="8">
        <v>-125.7805913192922</v>
      </c>
      <c r="J5" s="10" t="s">
        <v>11</v>
      </c>
      <c r="K5" s="8">
        <v>10108.1263737883</v>
      </c>
      <c r="L5" s="8">
        <v>48994.910898386603</v>
      </c>
      <c r="M5" s="9">
        <v>0.2063097205085673</v>
      </c>
      <c r="N5" s="8">
        <v>540.33055829399996</v>
      </c>
      <c r="O5" s="8">
        <v>2641.7450176213611</v>
      </c>
      <c r="P5" s="9">
        <v>0.20453546980870849</v>
      </c>
      <c r="Q5" s="8">
        <v>250.75463408526389</v>
      </c>
      <c r="R5" s="8">
        <v>-36.811814243377093</v>
      </c>
      <c r="S5" s="10" t="s">
        <v>11</v>
      </c>
      <c r="T5" s="8">
        <v>10122.980071690699</v>
      </c>
      <c r="U5" s="8">
        <v>48951.675332375802</v>
      </c>
      <c r="V5" s="9">
        <v>0.20679537529526659</v>
      </c>
      <c r="W5" s="8">
        <v>602.30903681999996</v>
      </c>
      <c r="X5" s="8">
        <v>2880.8344489764499</v>
      </c>
      <c r="Y5" s="9">
        <v>0.20907450514346571</v>
      </c>
      <c r="Z5" s="8">
        <v>273.74353160623912</v>
      </c>
      <c r="AA5" s="8">
        <v>-96.318464968852993</v>
      </c>
      <c r="AB5" s="10" t="s">
        <v>11</v>
      </c>
      <c r="AC5" s="8">
        <f t="shared" ca="1" si="0"/>
        <v>10122.980071690699</v>
      </c>
      <c r="AD5" s="8">
        <f t="shared" ca="1" si="1"/>
        <v>48951.675332375802</v>
      </c>
      <c r="AE5" s="10">
        <f t="shared" ca="1" si="2"/>
        <v>0.20679537529526662</v>
      </c>
      <c r="AF5" s="8" cm="1">
        <f t="array" aca="1" ref="AF5" ca="1">_xlfn.LET(_xlpm.data,$B5:OFFSET(AF5,0,-4),_xlpm.cols,COLUMN(_xlpm.data)-COLUMN($B5),SUMPRODUCT((MOD(_xlpm.cols,9)=3)*IFERROR(1*_xlpm.data,0)))</f>
        <v>1441.0393124499999</v>
      </c>
      <c r="AG5" s="8" cm="1">
        <f t="array" aca="1" ref="AG5" ca="1">_xlfn.LET(_xlpm.data,$B5:OFFSET(AF5,0,-4),_xlpm.cols,COLUMN(_xlpm.data)-COLUMN($B5),SUMPRODUCT((MOD(_xlpm.cols,9)=4)*IFERROR(1*_xlpm.data,0)))</f>
        <v>6964.2250889480565</v>
      </c>
      <c r="AH5" s="10">
        <f t="shared" ca="1" si="3"/>
        <v>0.20692026665491772</v>
      </c>
      <c r="AI5" s="8" cm="1">
        <f t="array" aca="1" ref="AI5" ca="1">_xlfn.LET(_xlpm.data,$B5:OFFSET(AF5,0,-4),_xlpm.cols,COLUMN(_xlpm.data)-COLUMN($B5),SUMPRODUCT((MOD(_xlpm.cols,9)=6)*IFERROR(1*_xlpm.data,0)))</f>
        <v>659.83801328423851</v>
      </c>
      <c r="AJ5" s="8" cm="1">
        <f t="array" aca="1" ref="AJ5" ca="1">_xlfn.LET(_xlpm.data,$B5:OFFSET(AF5,0,-4),_xlpm.cols,COLUMN(_xlpm.data)-COLUMN($B5),SUMPRODUCT((MOD(_xlpm.cols,9)=7)*IFERROR(1*_xlpm.data,0)))</f>
        <v>-258.91087053152228</v>
      </c>
      <c r="AK5" s="10" t="str">
        <f t="shared" ca="1" si="4"/>
        <v>N.A</v>
      </c>
    </row>
    <row r="6" spans="1:37" ht="14.55" customHeight="1" x14ac:dyDescent="0.3">
      <c r="A6" s="3" t="s">
        <v>12</v>
      </c>
      <c r="B6" s="4">
        <v>17184.815117325201</v>
      </c>
      <c r="C6" s="4">
        <v>299580.504190384</v>
      </c>
      <c r="D6" s="5">
        <v>5.7362928751879719E-2</v>
      </c>
      <c r="E6" s="4">
        <v>188.239919625</v>
      </c>
      <c r="F6" s="4">
        <v>4515.4518132727271</v>
      </c>
      <c r="G6" s="5">
        <v>4.1687947830976117E-2</v>
      </c>
      <c r="H6" s="4">
        <v>38.217607081238292</v>
      </c>
      <c r="I6" s="4">
        <v>1778.4468492804169</v>
      </c>
      <c r="J6" s="6">
        <v>2.1489316420505701E-2</v>
      </c>
      <c r="K6" s="4">
        <v>17112.360839113499</v>
      </c>
      <c r="L6" s="4">
        <v>297715.76668175001</v>
      </c>
      <c r="M6" s="5">
        <v>5.7478853168720957E-2</v>
      </c>
      <c r="N6" s="4">
        <v>266.77629845000001</v>
      </c>
      <c r="O6" s="4">
        <v>7531.6148007779848</v>
      </c>
      <c r="P6" s="5">
        <v>3.5420863321693391E-2</v>
      </c>
      <c r="Q6" s="4">
        <v>-34.154881364967899</v>
      </c>
      <c r="R6" s="4">
        <v>1969.313123181043</v>
      </c>
      <c r="S6" s="6" t="s">
        <v>11</v>
      </c>
      <c r="T6" s="4">
        <v>17049.764955047402</v>
      </c>
      <c r="U6" s="4">
        <v>296856.50818638399</v>
      </c>
      <c r="V6" s="5">
        <v>5.7434364701017607E-2</v>
      </c>
      <c r="W6" s="4">
        <v>281.09238807200001</v>
      </c>
      <c r="X6" s="4">
        <v>8408.4905443295083</v>
      </c>
      <c r="Y6" s="5">
        <v>3.3429589602329057E-2</v>
      </c>
      <c r="Z6" s="4">
        <v>-60.124465670186439</v>
      </c>
      <c r="AA6" s="4">
        <v>2195.6316703279981</v>
      </c>
      <c r="AB6" s="6" t="s">
        <v>11</v>
      </c>
      <c r="AC6" s="4">
        <f t="shared" ca="1" si="0"/>
        <v>17049.764955047402</v>
      </c>
      <c r="AD6" s="4">
        <f t="shared" ca="1" si="1"/>
        <v>296856.50818638399</v>
      </c>
      <c r="AE6" s="6">
        <f t="shared" ca="1" si="2"/>
        <v>5.7434364701017621E-2</v>
      </c>
      <c r="AF6" s="4" cm="1">
        <f t="array" aca="1" ref="AF6" ca="1">_xlfn.LET(_xlpm.data,$B6:OFFSET(AF6,0,-4),_xlpm.cols,COLUMN(_xlpm.data)-COLUMN($B6),SUMPRODUCT((MOD(_xlpm.cols,9)=3)*IFERROR(1*_xlpm.data,0)))</f>
        <v>736.10860614700005</v>
      </c>
      <c r="AG6" s="4" cm="1">
        <f t="array" aca="1" ref="AG6" ca="1">_xlfn.LET(_xlpm.data,$B6:OFFSET(AF6,0,-4),_xlpm.cols,COLUMN(_xlpm.data)-COLUMN($B6),SUMPRODUCT((MOD(_xlpm.cols,9)=4)*IFERROR(1*_xlpm.data,0)))</f>
        <v>20455.557158380223</v>
      </c>
      <c r="AH6" s="6">
        <f t="shared" ca="1" si="3"/>
        <v>3.5985751962049659E-2</v>
      </c>
      <c r="AI6" s="4" cm="1">
        <f t="array" aca="1" ref="AI6" ca="1">_xlfn.LET(_xlpm.data,$B6:OFFSET(AF6,0,-4),_xlpm.cols,COLUMN(_xlpm.data)-COLUMN($B6),SUMPRODUCT((MOD(_xlpm.cols,9)=6)*IFERROR(1*_xlpm.data,0)))</f>
        <v>-56.061739953916046</v>
      </c>
      <c r="AJ6" s="4" cm="1">
        <f t="array" aca="1" ref="AJ6" ca="1">_xlfn.LET(_xlpm.data,$B6:OFFSET(AF6,0,-4),_xlpm.cols,COLUMN(_xlpm.data)-COLUMN($B6),SUMPRODUCT((MOD(_xlpm.cols,9)=7)*IFERROR(1*_xlpm.data,0)))</f>
        <v>5943.3916427894583</v>
      </c>
      <c r="AK6" s="6" t="str">
        <f t="shared" ca="1" si="4"/>
        <v>N.A</v>
      </c>
    </row>
    <row r="7" spans="1:37" ht="14.55" customHeight="1" x14ac:dyDescent="0.3">
      <c r="A7" s="7" t="s">
        <v>13</v>
      </c>
      <c r="B7" s="8">
        <v>8648.0143948871391</v>
      </c>
      <c r="C7" s="8">
        <v>210605.13627016501</v>
      </c>
      <c r="D7" s="9">
        <v>4.1062694614405967E-2</v>
      </c>
      <c r="E7" s="8">
        <v>145.11243547300001</v>
      </c>
      <c r="F7" s="8">
        <v>2661.999480581821</v>
      </c>
      <c r="G7" s="9">
        <v>5.4512570919541821E-2</v>
      </c>
      <c r="H7" s="8">
        <v>83.367588149409514</v>
      </c>
      <c r="I7" s="8">
        <v>1004.441221633123</v>
      </c>
      <c r="J7" s="10">
        <v>8.2998971322445339E-2</v>
      </c>
      <c r="K7" s="8">
        <v>8670.2227000639796</v>
      </c>
      <c r="L7" s="8">
        <v>210479.05765750201</v>
      </c>
      <c r="M7" s="9">
        <v>4.1192804626541193E-2</v>
      </c>
      <c r="N7" s="8">
        <v>260.65738307499998</v>
      </c>
      <c r="O7" s="8">
        <v>4796.3225904132014</v>
      </c>
      <c r="P7" s="9">
        <v>5.4345256842397757E-2</v>
      </c>
      <c r="Q7" s="8">
        <v>139.86360415404059</v>
      </c>
      <c r="R7" s="8">
        <v>1278.281523475443</v>
      </c>
      <c r="S7" s="10">
        <v>0.1094153373771482</v>
      </c>
      <c r="T7" s="8">
        <v>8673.3502333445504</v>
      </c>
      <c r="U7" s="8">
        <v>209655.34331795201</v>
      </c>
      <c r="V7" s="9">
        <v>4.1369564429326343E-2</v>
      </c>
      <c r="W7" s="8">
        <v>291.413927054</v>
      </c>
      <c r="X7" s="8">
        <v>5698.5367464432011</v>
      </c>
      <c r="Y7" s="9">
        <v>5.1138378152231607E-2</v>
      </c>
      <c r="Z7" s="8">
        <v>155.7710413417949</v>
      </c>
      <c r="AA7" s="8">
        <v>1739.432039445586</v>
      </c>
      <c r="AB7" s="10">
        <v>8.9552818281675564E-2</v>
      </c>
      <c r="AC7" s="8">
        <f t="shared" ca="1" si="0"/>
        <v>8673.3502333445504</v>
      </c>
      <c r="AD7" s="8">
        <f t="shared" ca="1" si="1"/>
        <v>209655.34331795201</v>
      </c>
      <c r="AE7" s="10">
        <f t="shared" ca="1" si="2"/>
        <v>4.1369564429326343E-2</v>
      </c>
      <c r="AF7" s="8" cm="1">
        <f t="array" aca="1" ref="AF7" ca="1">_xlfn.LET(_xlpm.data,$B7:OFFSET(AF7,0,-4),_xlpm.cols,COLUMN(_xlpm.data)-COLUMN($B7),SUMPRODUCT((MOD(_xlpm.cols,9)=3)*IFERROR(1*_xlpm.data,0)))</f>
        <v>697.18374560200004</v>
      </c>
      <c r="AG7" s="8" cm="1">
        <f t="array" aca="1" ref="AG7" ca="1">_xlfn.LET(_xlpm.data,$B7:OFFSET(AF7,0,-4),_xlpm.cols,COLUMN(_xlpm.data)-COLUMN($B7),SUMPRODUCT((MOD(_xlpm.cols,9)=4)*IFERROR(1*_xlpm.data,0)))</f>
        <v>13156.858817438224</v>
      </c>
      <c r="AH7" s="10">
        <f t="shared" ca="1" si="3"/>
        <v>5.2990136572564434E-2</v>
      </c>
      <c r="AI7" s="8" cm="1">
        <f t="array" aca="1" ref="AI7" ca="1">_xlfn.LET(_xlpm.data,$B7:OFFSET(AF7,0,-4),_xlpm.cols,COLUMN(_xlpm.data)-COLUMN($B7),SUMPRODUCT((MOD(_xlpm.cols,9)=6)*IFERROR(1*_xlpm.data,0)))</f>
        <v>379.00223364524498</v>
      </c>
      <c r="AJ7" s="8" cm="1">
        <f t="array" aca="1" ref="AJ7" ca="1">_xlfn.LET(_xlpm.data,$B7:OFFSET(AF7,0,-4),_xlpm.cols,COLUMN(_xlpm.data)-COLUMN($B7),SUMPRODUCT((MOD(_xlpm.cols,9)=7)*IFERROR(1*_xlpm.data,0)))</f>
        <v>4022.1547845541518</v>
      </c>
      <c r="AK7" s="10">
        <f t="shared" ca="1" si="4"/>
        <v>9.4228654526346545E-2</v>
      </c>
    </row>
    <row r="8" spans="1:37" ht="14.55" customHeight="1" x14ac:dyDescent="0.3">
      <c r="A8" s="7" t="s">
        <v>14</v>
      </c>
      <c r="B8" s="8">
        <v>6111.1505192514996</v>
      </c>
      <c r="C8" s="8">
        <v>181378.17257596171</v>
      </c>
      <c r="D8" s="9">
        <v>3.3692866305024292E-2</v>
      </c>
      <c r="E8" s="8">
        <v>34.092105521999997</v>
      </c>
      <c r="F8" s="8">
        <v>954.35396443000002</v>
      </c>
      <c r="G8" s="9">
        <v>3.5722705403505008E-2</v>
      </c>
      <c r="H8" s="8">
        <v>-17.464832444044191</v>
      </c>
      <c r="I8" s="8">
        <v>-388.55400082458038</v>
      </c>
      <c r="J8" s="10" t="s">
        <v>11</v>
      </c>
      <c r="K8" s="8">
        <v>6020.6742619850102</v>
      </c>
      <c r="L8" s="8">
        <v>180094.7588546873</v>
      </c>
      <c r="M8" s="9">
        <v>3.3430591208058982E-2</v>
      </c>
      <c r="N8" s="8">
        <v>64.409869012000001</v>
      </c>
      <c r="O8" s="8">
        <v>1759.704754025817</v>
      </c>
      <c r="P8" s="9">
        <v>3.6602656703997871E-2</v>
      </c>
      <c r="Q8" s="8">
        <v>-33.284553758008357</v>
      </c>
      <c r="R8" s="8">
        <v>-854.54878210789593</v>
      </c>
      <c r="S8" s="10" t="s">
        <v>11</v>
      </c>
      <c r="T8" s="8">
        <v>6000.8257706246204</v>
      </c>
      <c r="U8" s="8">
        <v>178282.34198506529</v>
      </c>
      <c r="V8" s="9">
        <v>3.3659114547234907E-2</v>
      </c>
      <c r="W8" s="8">
        <v>71.910195337000005</v>
      </c>
      <c r="X8" s="8">
        <v>2000.528728229817</v>
      </c>
      <c r="Y8" s="9">
        <v>3.5945594943108013E-2</v>
      </c>
      <c r="Z8" s="8">
        <v>-35.126160038072463</v>
      </c>
      <c r="AA8" s="8">
        <v>-873.2370326367726</v>
      </c>
      <c r="AB8" s="10" t="s">
        <v>11</v>
      </c>
      <c r="AC8" s="8">
        <f t="shared" ca="1" si="0"/>
        <v>6000.8257706246204</v>
      </c>
      <c r="AD8" s="8">
        <f t="shared" ca="1" si="1"/>
        <v>178282.34198506529</v>
      </c>
      <c r="AE8" s="10">
        <f t="shared" ca="1" si="2"/>
        <v>3.3659114547234914E-2</v>
      </c>
      <c r="AF8" s="8" cm="1">
        <f t="array" aca="1" ref="AF8" ca="1">_xlfn.LET(_xlpm.data,$B8:OFFSET(AF8,0,-4),_xlpm.cols,COLUMN(_xlpm.data)-COLUMN($B8),SUMPRODUCT((MOD(_xlpm.cols,9)=3)*IFERROR(1*_xlpm.data,0)))</f>
        <v>170.412169871</v>
      </c>
      <c r="AG8" s="8" cm="1">
        <f t="array" aca="1" ref="AG8" ca="1">_xlfn.LET(_xlpm.data,$B8:OFFSET(AF8,0,-4),_xlpm.cols,COLUMN(_xlpm.data)-COLUMN($B8),SUMPRODUCT((MOD(_xlpm.cols,9)=4)*IFERROR(1*_xlpm.data,0)))</f>
        <v>4714.5874466856339</v>
      </c>
      <c r="AH8" s="10">
        <f t="shared" ca="1" si="3"/>
        <v>3.614572256811148E-2</v>
      </c>
      <c r="AI8" s="8" cm="1">
        <f t="array" aca="1" ref="AI8" ca="1">_xlfn.LET(_xlpm.data,$B8:OFFSET(AF8,0,-4),_xlpm.cols,COLUMN(_xlpm.data)-COLUMN($B8),SUMPRODUCT((MOD(_xlpm.cols,9)=6)*IFERROR(1*_xlpm.data,0)))</f>
        <v>-85.875546240125004</v>
      </c>
      <c r="AJ8" s="8" cm="1">
        <f t="array" aca="1" ref="AJ8" ca="1">_xlfn.LET(_xlpm.data,$B8:OFFSET(AF8,0,-4),_xlpm.cols,COLUMN(_xlpm.data)-COLUMN($B8),SUMPRODUCT((MOD(_xlpm.cols,9)=7)*IFERROR(1*_xlpm.data,0)))</f>
        <v>-2116.3398155692489</v>
      </c>
      <c r="AK8" s="10" t="str">
        <f t="shared" ca="1" si="4"/>
        <v>N.A</v>
      </c>
    </row>
    <row r="9" spans="1:37" ht="14.55" customHeight="1" x14ac:dyDescent="0.3">
      <c r="A9" s="11" t="s">
        <v>15</v>
      </c>
      <c r="B9" s="12">
        <v>227.68806579360299</v>
      </c>
      <c r="C9" s="12">
        <v>26265.5264681136</v>
      </c>
      <c r="D9" s="13">
        <v>8.6687036739970455E-3</v>
      </c>
      <c r="E9" s="12">
        <v>9.5894242369999994</v>
      </c>
      <c r="F9" s="12">
        <v>261.33502203500001</v>
      </c>
      <c r="G9" s="13">
        <v>3.6693988284952142E-2</v>
      </c>
      <c r="H9" s="12">
        <v>7.7481039108483598</v>
      </c>
      <c r="I9" s="12">
        <v>-5.5683463013430901</v>
      </c>
      <c r="J9" s="14" t="s">
        <v>11</v>
      </c>
      <c r="K9" s="12">
        <v>228.242899680947</v>
      </c>
      <c r="L9" s="12">
        <v>26136.284570436299</v>
      </c>
      <c r="M9" s="13">
        <v>8.7327982317395199E-3</v>
      </c>
      <c r="N9" s="12">
        <v>14.570849076</v>
      </c>
      <c r="O9" s="12">
        <v>490.47518866500002</v>
      </c>
      <c r="P9" s="13">
        <v>2.970761704717351E-2</v>
      </c>
      <c r="Q9" s="12">
        <v>10.932358375949869</v>
      </c>
      <c r="R9" s="12">
        <v>-86.257743916720187</v>
      </c>
      <c r="S9" s="14" t="s">
        <v>11</v>
      </c>
      <c r="T9" s="12">
        <v>225.97425534823199</v>
      </c>
      <c r="U9" s="12">
        <v>26051.090229401001</v>
      </c>
      <c r="V9" s="13">
        <v>8.6742724914138022E-3</v>
      </c>
      <c r="W9" s="12">
        <v>15.656188904</v>
      </c>
      <c r="X9" s="12">
        <v>577.80242394700008</v>
      </c>
      <c r="Y9" s="13">
        <v>2.709609419263373E-2</v>
      </c>
      <c r="Z9" s="12">
        <v>10.84964364895089</v>
      </c>
      <c r="AA9" s="12">
        <v>-51.40615112681153</v>
      </c>
      <c r="AB9" s="14" t="s">
        <v>11</v>
      </c>
      <c r="AC9" s="12">
        <f t="shared" ca="1" si="0"/>
        <v>225.97425534823199</v>
      </c>
      <c r="AD9" s="12">
        <f t="shared" ca="1" si="1"/>
        <v>26051.090229401001</v>
      </c>
      <c r="AE9" s="14">
        <f t="shared" ca="1" si="2"/>
        <v>8.6742724914138022E-3</v>
      </c>
      <c r="AF9" s="12" cm="1">
        <f t="array" aca="1" ref="AF9" ca="1">_xlfn.LET(_xlpm.data,$B9:OFFSET(AF9,0,-4),_xlpm.cols,COLUMN(_xlpm.data)-COLUMN($B9),SUMPRODUCT((MOD(_xlpm.cols,9)=3)*IFERROR(1*_xlpm.data,0)))</f>
        <v>39.816462216999994</v>
      </c>
      <c r="AG9" s="12" cm="1">
        <f t="array" aca="1" ref="AG9" ca="1">_xlfn.LET(_xlpm.data,$B9:OFFSET(AF9,0,-4),_xlpm.cols,COLUMN(_xlpm.data)-COLUMN($B9),SUMPRODUCT((MOD(_xlpm.cols,9)=4)*IFERROR(1*_xlpm.data,0)))</f>
        <v>1329.612634647</v>
      </c>
      <c r="AH9" s="14">
        <f t="shared" ca="1" si="3"/>
        <v>2.9945911447788624E-2</v>
      </c>
      <c r="AI9" s="12" cm="1">
        <f t="array" aca="1" ref="AI9" ca="1">_xlfn.LET(_xlpm.data,$B9:OFFSET(AF9,0,-4),_xlpm.cols,COLUMN(_xlpm.data)-COLUMN($B9),SUMPRODUCT((MOD(_xlpm.cols,9)=6)*IFERROR(1*_xlpm.data,0)))</f>
        <v>29.53010593574912</v>
      </c>
      <c r="AJ9" s="12" cm="1">
        <f t="array" aca="1" ref="AJ9" ca="1">_xlfn.LET(_xlpm.data,$B9:OFFSET(AF9,0,-4),_xlpm.cols,COLUMN(_xlpm.data)-COLUMN($B9),SUMPRODUCT((MOD(_xlpm.cols,9)=7)*IFERROR(1*_xlpm.data,0)))</f>
        <v>-143.23224134487481</v>
      </c>
      <c r="AK9" s="14" t="str">
        <f t="shared" ca="1" si="4"/>
        <v>N.A</v>
      </c>
    </row>
    <row r="10" spans="1:37" ht="14.55" customHeight="1" x14ac:dyDescent="0.3">
      <c r="A10" s="11" t="s">
        <v>16</v>
      </c>
      <c r="B10" s="12">
        <v>0</v>
      </c>
      <c r="C10" s="12">
        <v>689.71226256186196</v>
      </c>
      <c r="D10" s="13">
        <v>0</v>
      </c>
      <c r="E10" s="12">
        <v>0</v>
      </c>
      <c r="F10" s="12">
        <v>7.569621519</v>
      </c>
      <c r="G10" s="13">
        <v>0</v>
      </c>
      <c r="H10" s="12">
        <v>0</v>
      </c>
      <c r="I10" s="12">
        <v>7.569621519</v>
      </c>
      <c r="J10" s="14" t="s">
        <v>11</v>
      </c>
      <c r="K10" s="12">
        <v>0</v>
      </c>
      <c r="L10" s="12">
        <v>4.91886983E-2</v>
      </c>
      <c r="M10" s="13">
        <v>0</v>
      </c>
      <c r="N10" s="12">
        <v>0</v>
      </c>
      <c r="O10" s="12">
        <v>7.569621519</v>
      </c>
      <c r="P10" s="13">
        <v>0</v>
      </c>
      <c r="Q10" s="12">
        <v>0</v>
      </c>
      <c r="R10" s="12">
        <v>7.569621519</v>
      </c>
      <c r="S10" s="14" t="s">
        <v>11</v>
      </c>
      <c r="T10" s="12">
        <v>0</v>
      </c>
      <c r="U10" s="12">
        <v>4.91886983E-2</v>
      </c>
      <c r="V10" s="13">
        <v>0</v>
      </c>
      <c r="W10" s="12">
        <v>0</v>
      </c>
      <c r="X10" s="12">
        <v>7.569621519</v>
      </c>
      <c r="Y10" s="13">
        <v>0</v>
      </c>
      <c r="Z10" s="12">
        <v>0</v>
      </c>
      <c r="AA10" s="12">
        <v>7.569621519</v>
      </c>
      <c r="AB10" s="14" t="s">
        <v>11</v>
      </c>
      <c r="AC10" s="12">
        <f t="shared" ca="1" si="0"/>
        <v>0</v>
      </c>
      <c r="AD10" s="12">
        <f t="shared" ca="1" si="1"/>
        <v>4.91886983E-2</v>
      </c>
      <c r="AE10" s="14">
        <f t="shared" ca="1" si="2"/>
        <v>0</v>
      </c>
      <c r="AF10" s="12" cm="1">
        <f t="array" aca="1" ref="AF10" ca="1">_xlfn.LET(_xlpm.data,$B10:OFFSET(AF10,0,-4),_xlpm.cols,COLUMN(_xlpm.data)-COLUMN($B10),SUMPRODUCT((MOD(_xlpm.cols,9)=3)*IFERROR(1*_xlpm.data,0)))</f>
        <v>0</v>
      </c>
      <c r="AG10" s="12" cm="1">
        <f t="array" aca="1" ref="AG10" ca="1">_xlfn.LET(_xlpm.data,$B10:OFFSET(AF10,0,-4),_xlpm.cols,COLUMN(_xlpm.data)-COLUMN($B10),SUMPRODUCT((MOD(_xlpm.cols,9)=4)*IFERROR(1*_xlpm.data,0)))</f>
        <v>22.708864556999998</v>
      </c>
      <c r="AH10" s="14">
        <f t="shared" ca="1" si="3"/>
        <v>0</v>
      </c>
      <c r="AI10" s="12" cm="1">
        <f t="array" aca="1" ref="AI10" ca="1">_xlfn.LET(_xlpm.data,$B10:OFFSET(AF10,0,-4),_xlpm.cols,COLUMN(_xlpm.data)-COLUMN($B10),SUMPRODUCT((MOD(_xlpm.cols,9)=6)*IFERROR(1*_xlpm.data,0)))</f>
        <v>0</v>
      </c>
      <c r="AJ10" s="12" cm="1">
        <f t="array" aca="1" ref="AJ10" ca="1">_xlfn.LET(_xlpm.data,$B10:OFFSET(AF10,0,-4),_xlpm.cols,COLUMN(_xlpm.data)-COLUMN($B10),SUMPRODUCT((MOD(_xlpm.cols,9)=7)*IFERROR(1*_xlpm.data,0)))</f>
        <v>22.708864556999998</v>
      </c>
      <c r="AK10" s="14" t="str">
        <f t="shared" ca="1" si="4"/>
        <v>N.A</v>
      </c>
    </row>
    <row r="11" spans="1:37" ht="14.55" customHeight="1" x14ac:dyDescent="0.3">
      <c r="A11" s="11" t="s">
        <v>17</v>
      </c>
      <c r="B11" s="12">
        <v>4082.92714672479</v>
      </c>
      <c r="C11" s="12">
        <v>150624.76886131699</v>
      </c>
      <c r="D11" s="13">
        <v>2.710661186463972E-2</v>
      </c>
      <c r="E11" s="12">
        <v>60.456349998999997</v>
      </c>
      <c r="F11" s="12">
        <v>2318.8374709730001</v>
      </c>
      <c r="G11" s="13">
        <v>2.607183589009026E-2</v>
      </c>
      <c r="H11" s="12">
        <v>41.625543900630767</v>
      </c>
      <c r="I11" s="12">
        <v>929.85705139228321</v>
      </c>
      <c r="J11" s="14">
        <v>4.4765530183703481E-2</v>
      </c>
      <c r="K11" s="12">
        <v>4118.4037802504399</v>
      </c>
      <c r="L11" s="12">
        <v>151219.09034787701</v>
      </c>
      <c r="M11" s="13">
        <v>2.7234681618412859E-2</v>
      </c>
      <c r="N11" s="12">
        <v>105.396933985</v>
      </c>
      <c r="O11" s="12">
        <v>4136.8463673469996</v>
      </c>
      <c r="P11" s="13">
        <v>2.547760410367671E-2</v>
      </c>
      <c r="Q11" s="12">
        <v>63.793805705565227</v>
      </c>
      <c r="R11" s="12">
        <v>1525.2813092876131</v>
      </c>
      <c r="S11" s="14">
        <v>4.182428861949427E-2</v>
      </c>
      <c r="T11" s="12">
        <v>4095.6676566911101</v>
      </c>
      <c r="U11" s="12">
        <v>149894.321640893</v>
      </c>
      <c r="V11" s="13">
        <v>2.7323701203993859E-2</v>
      </c>
      <c r="W11" s="12">
        <v>115.332054145</v>
      </c>
      <c r="X11" s="12">
        <v>4771.7512770039993</v>
      </c>
      <c r="Y11" s="13">
        <v>2.4169753922591831E-2</v>
      </c>
      <c r="Z11" s="12">
        <v>70.457743941239755</v>
      </c>
      <c r="AA11" s="12">
        <v>1883.062523182798</v>
      </c>
      <c r="AB11" s="14">
        <v>3.7416571714331798E-2</v>
      </c>
      <c r="AC11" s="12">
        <f t="shared" ca="1" si="0"/>
        <v>4095.6676566911101</v>
      </c>
      <c r="AD11" s="12">
        <f t="shared" ca="1" si="1"/>
        <v>149894.321640893</v>
      </c>
      <c r="AE11" s="14">
        <f t="shared" ca="1" si="2"/>
        <v>2.7323701203993855E-2</v>
      </c>
      <c r="AF11" s="12" cm="1">
        <f t="array" aca="1" ref="AF11" ca="1">_xlfn.LET(_xlpm.data,$B11:OFFSET(AF11,0,-4),_xlpm.cols,COLUMN(_xlpm.data)-COLUMN($B11),SUMPRODUCT((MOD(_xlpm.cols,9)=3)*IFERROR(1*_xlpm.data,0)))</f>
        <v>281.185338129</v>
      </c>
      <c r="AG11" s="12" cm="1">
        <f t="array" aca="1" ref="AG11" ca="1">_xlfn.LET(_xlpm.data,$B11:OFFSET(AF11,0,-4),_xlpm.cols,COLUMN(_xlpm.data)-COLUMN($B11),SUMPRODUCT((MOD(_xlpm.cols,9)=4)*IFERROR(1*_xlpm.data,0)))</f>
        <v>11227.435115323999</v>
      </c>
      <c r="AH11" s="14">
        <f t="shared" ca="1" si="3"/>
        <v>2.5044485694263183E-2</v>
      </c>
      <c r="AI11" s="12" cm="1">
        <f t="array" aca="1" ref="AI11" ca="1">_xlfn.LET(_xlpm.data,$B11:OFFSET(AF11,0,-4),_xlpm.cols,COLUMN(_xlpm.data)-COLUMN($B11),SUMPRODUCT((MOD(_xlpm.cols,9)=6)*IFERROR(1*_xlpm.data,0)))</f>
        <v>175.87709354743575</v>
      </c>
      <c r="AJ11" s="12" cm="1">
        <f t="array" aca="1" ref="AJ11" ca="1">_xlfn.LET(_xlpm.data,$B11:OFFSET(AF11,0,-4),_xlpm.cols,COLUMN(_xlpm.data)-COLUMN($B11),SUMPRODUCT((MOD(_xlpm.cols,9)=7)*IFERROR(1*_xlpm.data,0)))</f>
        <v>4338.2008838626944</v>
      </c>
      <c r="AK11" s="14">
        <f t="shared" ca="1" si="4"/>
        <v>4.054148211570055E-2</v>
      </c>
    </row>
    <row r="12" spans="1:37" ht="14.55" customHeight="1" x14ac:dyDescent="0.3">
      <c r="A12" s="7" t="s">
        <v>18</v>
      </c>
      <c r="B12" s="8">
        <v>30259.184599005799</v>
      </c>
      <c r="C12" s="8">
        <v>236992.063939046</v>
      </c>
      <c r="D12" s="9">
        <v>0.1276801598166106</v>
      </c>
      <c r="E12" s="8">
        <v>501.20686623500001</v>
      </c>
      <c r="F12" s="8">
        <v>5946.4094598379997</v>
      </c>
      <c r="G12" s="9">
        <v>8.4287311464194825E-2</v>
      </c>
      <c r="H12" s="8">
        <v>327.11986527720592</v>
      </c>
      <c r="I12" s="8">
        <v>3807.2716684466868</v>
      </c>
      <c r="J12" s="10">
        <v>8.5919759282811078E-2</v>
      </c>
      <c r="K12" s="8">
        <v>30128.848291219001</v>
      </c>
      <c r="L12" s="8">
        <v>241138.35739651101</v>
      </c>
      <c r="M12" s="9">
        <v>0.124944237891101</v>
      </c>
      <c r="N12" s="8">
        <v>903.60191148900003</v>
      </c>
      <c r="O12" s="8">
        <v>10582.14309026218</v>
      </c>
      <c r="P12" s="9">
        <v>8.5389311388210723E-2</v>
      </c>
      <c r="Q12" s="8">
        <v>529.75969811549055</v>
      </c>
      <c r="R12" s="8">
        <v>6650.6808854909405</v>
      </c>
      <c r="S12" s="10">
        <v>7.9654956723485132E-2</v>
      </c>
      <c r="T12" s="8">
        <v>29935.199631305499</v>
      </c>
      <c r="U12" s="8">
        <v>239776.049165328</v>
      </c>
      <c r="V12" s="9">
        <v>0.1248464962848098</v>
      </c>
      <c r="W12" s="8">
        <v>994.83980921700004</v>
      </c>
      <c r="X12" s="8">
        <v>11799.74038449818</v>
      </c>
      <c r="Y12" s="9">
        <v>8.4310313345873522E-2</v>
      </c>
      <c r="Z12" s="8">
        <v>584.82552826487529</v>
      </c>
      <c r="AA12" s="8">
        <v>7470.5256783605864</v>
      </c>
      <c r="AB12" s="10">
        <v>7.8284387664833754E-2</v>
      </c>
      <c r="AC12" s="8">
        <f t="shared" ca="1" si="0"/>
        <v>29935.199631305499</v>
      </c>
      <c r="AD12" s="8">
        <f t="shared" ca="1" si="1"/>
        <v>239776.049165328</v>
      </c>
      <c r="AE12" s="10">
        <f t="shared" ca="1" si="2"/>
        <v>0.12484649628480982</v>
      </c>
      <c r="AF12" s="8" cm="1">
        <f t="array" aca="1" ref="AF12" ca="1">_xlfn.LET(_xlpm.data,$B12:OFFSET(AF12,0,-4),_xlpm.cols,COLUMN(_xlpm.data)-COLUMN($B12),SUMPRODUCT((MOD(_xlpm.cols,9)=3)*IFERROR(1*_xlpm.data,0)))</f>
        <v>2399.6485869409998</v>
      </c>
      <c r="AG12" s="8" cm="1">
        <f t="array" aca="1" ref="AG12" ca="1">_xlfn.LET(_xlpm.data,$B12:OFFSET(AF12,0,-4),_xlpm.cols,COLUMN(_xlpm.data)-COLUMN($B12),SUMPRODUCT((MOD(_xlpm.cols,9)=4)*IFERROR(1*_xlpm.data,0)))</f>
        <v>28328.292934598358</v>
      </c>
      <c r="AH12" s="10">
        <f t="shared" ca="1" si="3"/>
        <v>8.4708548887187735E-2</v>
      </c>
      <c r="AI12" s="8" cm="1">
        <f t="array" aca="1" ref="AI12" ca="1">_xlfn.LET(_xlpm.data,$B12:OFFSET(AF12,0,-4),_xlpm.cols,COLUMN(_xlpm.data)-COLUMN($B12),SUMPRODUCT((MOD(_xlpm.cols,9)=6)*IFERROR(1*_xlpm.data,0)))</f>
        <v>1441.7050916575718</v>
      </c>
      <c r="AJ12" s="8" cm="1">
        <f t="array" aca="1" ref="AJ12" ca="1">_xlfn.LET(_xlpm.data,$B12:OFFSET(AF12,0,-4),_xlpm.cols,COLUMN(_xlpm.data)-COLUMN($B12),SUMPRODUCT((MOD(_xlpm.cols,9)=7)*IFERROR(1*_xlpm.data,0)))</f>
        <v>17928.478232298214</v>
      </c>
      <c r="AK12" s="10">
        <f t="shared" ca="1" si="4"/>
        <v>8.0414247822792634E-2</v>
      </c>
    </row>
    <row r="13" spans="1:37" ht="14.55" customHeight="1" x14ac:dyDescent="0.3">
      <c r="A13" s="11" t="s">
        <v>19</v>
      </c>
      <c r="B13" s="12">
        <v>10602.5094552428</v>
      </c>
      <c r="C13" s="12">
        <v>319916.934969044</v>
      </c>
      <c r="D13" s="13">
        <v>3.3141444844952413E-2</v>
      </c>
      <c r="E13" s="12">
        <v>138.01245499800001</v>
      </c>
      <c r="F13" s="12">
        <v>5063.6076071674179</v>
      </c>
      <c r="G13" s="13">
        <v>2.725575631149748E-2</v>
      </c>
      <c r="H13" s="12">
        <v>66.637632108455591</v>
      </c>
      <c r="I13" s="12">
        <v>2805.5765672060238</v>
      </c>
      <c r="J13" s="14">
        <v>2.3751849401428979E-2</v>
      </c>
      <c r="K13" s="12">
        <v>10517.149091712799</v>
      </c>
      <c r="L13" s="12">
        <v>319999.873047092</v>
      </c>
      <c r="M13" s="13">
        <v>3.2866103950500852E-2</v>
      </c>
      <c r="N13" s="12">
        <v>251.90636854499999</v>
      </c>
      <c r="O13" s="12">
        <v>9521.0855586794241</v>
      </c>
      <c r="P13" s="13">
        <v>2.6457736042016979E-2</v>
      </c>
      <c r="Q13" s="12">
        <v>105.97181138002171</v>
      </c>
      <c r="R13" s="12">
        <v>4690.3948596324344</v>
      </c>
      <c r="S13" s="14">
        <v>2.259336677431167E-2</v>
      </c>
      <c r="T13" s="12">
        <v>10442.2443137759</v>
      </c>
      <c r="U13" s="12">
        <v>317209.06627431698</v>
      </c>
      <c r="V13" s="13">
        <v>3.2919123139896721E-2</v>
      </c>
      <c r="W13" s="12">
        <v>273.98195610900001</v>
      </c>
      <c r="X13" s="12">
        <v>11530.454734323421</v>
      </c>
      <c r="Y13" s="13">
        <v>2.3761591578294029E-2</v>
      </c>
      <c r="Z13" s="12">
        <v>112.9464201849887</v>
      </c>
      <c r="AA13" s="12">
        <v>6180.689865648149</v>
      </c>
      <c r="AB13" s="14">
        <v>1.827407985842117E-2</v>
      </c>
      <c r="AC13" s="12">
        <f t="shared" ca="1" si="0"/>
        <v>10442.2443137759</v>
      </c>
      <c r="AD13" s="12">
        <f t="shared" ca="1" si="1"/>
        <v>317209.06627431698</v>
      </c>
      <c r="AE13" s="14">
        <f t="shared" ca="1" si="2"/>
        <v>3.2919123139896721E-2</v>
      </c>
      <c r="AF13" s="12" cm="1">
        <f t="array" aca="1" ref="AF13" ca="1">_xlfn.LET(_xlpm.data,$B13:OFFSET(AF13,0,-4),_xlpm.cols,COLUMN(_xlpm.data)-COLUMN($B13),SUMPRODUCT((MOD(_xlpm.cols,9)=3)*IFERROR(1*_xlpm.data,0)))</f>
        <v>663.90077965199998</v>
      </c>
      <c r="AG13" s="12" cm="1">
        <f t="array" aca="1" ref="AG13" ca="1">_xlfn.LET(_xlpm.data,$B13:OFFSET(AF13,0,-4),_xlpm.cols,COLUMN(_xlpm.data)-COLUMN($B13),SUMPRODUCT((MOD(_xlpm.cols,9)=4)*IFERROR(1*_xlpm.data,0)))</f>
        <v>26115.147900170261</v>
      </c>
      <c r="AH13" s="14">
        <f t="shared" ca="1" si="3"/>
        <v>2.5422057044818484E-2</v>
      </c>
      <c r="AI13" s="12" cm="1">
        <f t="array" aca="1" ref="AI13" ca="1">_xlfn.LET(_xlpm.data,$B13:OFFSET(AF13,0,-4),_xlpm.cols,COLUMN(_xlpm.data)-COLUMN($B13),SUMPRODUCT((MOD(_xlpm.cols,9)=6)*IFERROR(1*_xlpm.data,0)))</f>
        <v>285.55586367346598</v>
      </c>
      <c r="AJ13" s="12" cm="1">
        <f t="array" aca="1" ref="AJ13" ca="1">_xlfn.LET(_xlpm.data,$B13:OFFSET(AF13,0,-4),_xlpm.cols,COLUMN(_xlpm.data)-COLUMN($B13),SUMPRODUCT((MOD(_xlpm.cols,9)=7)*IFERROR(1*_xlpm.data,0)))</f>
        <v>13676.661292486606</v>
      </c>
      <c r="AK13" s="14">
        <f t="shared" ca="1" si="4"/>
        <v>2.0879062335947343E-2</v>
      </c>
    </row>
    <row r="14" spans="1:37" ht="14.55" customHeight="1" x14ac:dyDescent="0.3">
      <c r="A14" s="15" t="s">
        <v>20</v>
      </c>
      <c r="B14" s="16">
        <v>63556.413143761201</v>
      </c>
      <c r="C14" s="16">
        <v>402573.83856095001</v>
      </c>
      <c r="D14" s="17">
        <v>0.15787516985940139</v>
      </c>
      <c r="E14" s="16">
        <v>1025.4255541439991</v>
      </c>
      <c r="F14" s="16">
        <v>8462.9603862823406</v>
      </c>
      <c r="G14" s="17">
        <v>0.12116629492985891</v>
      </c>
      <c r="H14" s="16">
        <v>718.43236773797298</v>
      </c>
      <c r="I14" s="16">
        <v>5755.1711467509986</v>
      </c>
      <c r="J14" s="18">
        <v>0.12483249401602139</v>
      </c>
      <c r="K14" s="16">
        <v>64752.695900018902</v>
      </c>
      <c r="L14" s="16">
        <v>414429.15700526099</v>
      </c>
      <c r="M14" s="17">
        <v>0.15624551218339319</v>
      </c>
      <c r="N14" s="16">
        <v>1894.336461514999</v>
      </c>
      <c r="O14" s="16">
        <v>15361.510977643649</v>
      </c>
      <c r="P14" s="17">
        <v>0.12331706589748349</v>
      </c>
      <c r="Q14" s="16">
        <v>1221.706827904959</v>
      </c>
      <c r="R14" s="16">
        <v>9464.65864783898</v>
      </c>
      <c r="S14" s="18">
        <v>0.12908091811466491</v>
      </c>
      <c r="T14" s="16">
        <v>64979.5981596809</v>
      </c>
      <c r="U14" s="16">
        <v>411014.08682668302</v>
      </c>
      <c r="V14" s="17">
        <v>0.1580957934103159</v>
      </c>
      <c r="W14" s="16">
        <v>2109.6522293609992</v>
      </c>
      <c r="X14" s="16">
        <v>17102.54029148665</v>
      </c>
      <c r="Y14" s="17">
        <v>0.12335315066681329</v>
      </c>
      <c r="Z14" s="16">
        <v>1359.350801502824</v>
      </c>
      <c r="AA14" s="16">
        <v>10614.36445522869</v>
      </c>
      <c r="AB14" s="18">
        <v>0.12806709315819659</v>
      </c>
      <c r="AC14" s="16">
        <f t="shared" ca="1" si="0"/>
        <v>64979.5981596809</v>
      </c>
      <c r="AD14" s="16">
        <f t="shared" ca="1" si="1"/>
        <v>411014.08682668302</v>
      </c>
      <c r="AE14" s="18">
        <f t="shared" ca="1" si="2"/>
        <v>0.15809579341031585</v>
      </c>
      <c r="AF14" s="16" cm="1">
        <f t="array" aca="1" ref="AF14" ca="1">_xlfn.LET(_xlpm.data,$B14:OFFSET(AF14,0,-4),_xlpm.cols,COLUMN(_xlpm.data)-COLUMN($B14),SUMPRODUCT((MOD(_xlpm.cols,9)=3)*IFERROR(1*_xlpm.data,0)))</f>
        <v>5029.4142450199979</v>
      </c>
      <c r="AG14" s="16" cm="1">
        <f t="array" aca="1" ref="AG14" ca="1">_xlfn.LET(_xlpm.data,$B14:OFFSET(AF14,0,-4),_xlpm.cols,COLUMN(_xlpm.data)-COLUMN($B14),SUMPRODUCT((MOD(_xlpm.cols,9)=4)*IFERROR(1*_xlpm.data,0)))</f>
        <v>40927.011655412643</v>
      </c>
      <c r="AH14" s="18">
        <f t="shared" ca="1" si="3"/>
        <v>0.12288740471367526</v>
      </c>
      <c r="AI14" s="16" cm="1">
        <f t="array" aca="1" ref="AI14" ca="1">_xlfn.LET(_xlpm.data,$B14:OFFSET(AF14,0,-4),_xlpm.cols,COLUMN(_xlpm.data)-COLUMN($B14),SUMPRODUCT((MOD(_xlpm.cols,9)=6)*IFERROR(1*_xlpm.data,0)))</f>
        <v>3299.4899971457562</v>
      </c>
      <c r="AJ14" s="16" cm="1">
        <f t="array" aca="1" ref="AJ14" ca="1">_xlfn.LET(_xlpm.data,$B14:OFFSET(AF14,0,-4),_xlpm.cols,COLUMN(_xlpm.data)-COLUMN($B14),SUMPRODUCT((MOD(_xlpm.cols,9)=7)*IFERROR(1*_xlpm.data,0)))</f>
        <v>25834.194249818669</v>
      </c>
      <c r="AK14" s="18">
        <f t="shared" ca="1" si="4"/>
        <v>0.12771793713554336</v>
      </c>
    </row>
    <row r="15" spans="1:37" ht="14.55" customHeight="1" x14ac:dyDescent="0.3">
      <c r="A15" s="7" t="s">
        <v>21</v>
      </c>
      <c r="B15" s="8">
        <v>25802.2124763967</v>
      </c>
      <c r="C15" s="8">
        <v>194331.928176043</v>
      </c>
      <c r="D15" s="9">
        <v>0.13277392304275801</v>
      </c>
      <c r="E15" s="8">
        <v>1133.4152542310001</v>
      </c>
      <c r="F15" s="8">
        <v>4759.1249524510004</v>
      </c>
      <c r="G15" s="9">
        <v>0.23815622946551951</v>
      </c>
      <c r="H15" s="8">
        <v>974.88316119115882</v>
      </c>
      <c r="I15" s="8">
        <v>3297.9246618294978</v>
      </c>
      <c r="J15" s="10">
        <v>0.29560504291518602</v>
      </c>
      <c r="K15" s="8">
        <v>26251.648822314499</v>
      </c>
      <c r="L15" s="8">
        <v>198350.66649584801</v>
      </c>
      <c r="M15" s="9">
        <v>0.13234968798485999</v>
      </c>
      <c r="N15" s="8">
        <v>2008.64156413</v>
      </c>
      <c r="O15" s="8">
        <v>8488.5572110879984</v>
      </c>
      <c r="P15" s="9">
        <v>0.23662932512326759</v>
      </c>
      <c r="Q15" s="8">
        <v>1663.429739180317</v>
      </c>
      <c r="R15" s="8">
        <v>5302.4100436037352</v>
      </c>
      <c r="S15" s="10">
        <v>0.3137120150085152</v>
      </c>
      <c r="T15" s="8">
        <v>26413.546095557002</v>
      </c>
      <c r="U15" s="8">
        <v>197017.69201522699</v>
      </c>
      <c r="V15" s="9">
        <v>0.1340668740222353</v>
      </c>
      <c r="W15" s="8">
        <v>2283.0971072349998</v>
      </c>
      <c r="X15" s="8">
        <v>9482.4793492399986</v>
      </c>
      <c r="Y15" s="9">
        <v>0.24077005845712551</v>
      </c>
      <c r="Z15" s="8">
        <v>1905.0891542323809</v>
      </c>
      <c r="AA15" s="8">
        <v>5972.7183182715771</v>
      </c>
      <c r="AB15" s="10">
        <v>0.31896517677794778</v>
      </c>
      <c r="AC15" s="8">
        <f t="shared" ca="1" si="0"/>
        <v>26413.546095557002</v>
      </c>
      <c r="AD15" s="8">
        <f t="shared" ca="1" si="1"/>
        <v>197017.69201522699</v>
      </c>
      <c r="AE15" s="10">
        <f t="shared" ca="1" si="2"/>
        <v>0.13406687402223535</v>
      </c>
      <c r="AF15" s="8" cm="1">
        <f t="array" aca="1" ref="AF15" ca="1">_xlfn.LET(_xlpm.data,$B15:OFFSET(AF15,0,-4),_xlpm.cols,COLUMN(_xlpm.data)-COLUMN($B15),SUMPRODUCT((MOD(_xlpm.cols,9)=3)*IFERROR(1*_xlpm.data,0)))</f>
        <v>5425.1539255959997</v>
      </c>
      <c r="AG15" s="8" cm="1">
        <f t="array" aca="1" ref="AG15" ca="1">_xlfn.LET(_xlpm.data,$B15:OFFSET(AF15,0,-4),_xlpm.cols,COLUMN(_xlpm.data)-COLUMN($B15),SUMPRODUCT((MOD(_xlpm.cols,9)=4)*IFERROR(1*_xlpm.data,0)))</f>
        <v>22730.161512778999</v>
      </c>
      <c r="AH15" s="10">
        <f t="shared" ca="1" si="3"/>
        <v>0.23867643538502592</v>
      </c>
      <c r="AI15" s="8" cm="1">
        <f t="array" aca="1" ref="AI15" ca="1">_xlfn.LET(_xlpm.data,$B15:OFFSET(AF15,0,-4),_xlpm.cols,COLUMN(_xlpm.data)-COLUMN($B15),SUMPRODUCT((MOD(_xlpm.cols,9)=6)*IFERROR(1*_xlpm.data,0)))</f>
        <v>4543.4020546038564</v>
      </c>
      <c r="AJ15" s="8" cm="1">
        <f t="array" aca="1" ref="AJ15" ca="1">_xlfn.LET(_xlpm.data,$B15:OFFSET(AF15,0,-4),_xlpm.cols,COLUMN(_xlpm.data)-COLUMN($B15),SUMPRODUCT((MOD(_xlpm.cols,9)=7)*IFERROR(1*_xlpm.data,0)))</f>
        <v>14573.053023704811</v>
      </c>
      <c r="AK15" s="10">
        <f t="shared" ca="1" si="4"/>
        <v>0.31176734533343631</v>
      </c>
    </row>
    <row r="16" spans="1:37" ht="14.55" customHeight="1" x14ac:dyDescent="0.3">
      <c r="A16" s="15" t="s">
        <v>22</v>
      </c>
      <c r="B16" s="16">
        <v>24298.7689549434</v>
      </c>
      <c r="C16" s="16">
        <v>459810.85559046501</v>
      </c>
      <c r="D16" s="17">
        <v>5.2845139821112302E-2</v>
      </c>
      <c r="E16" s="16">
        <v>370.227140432</v>
      </c>
      <c r="F16" s="16">
        <v>9361.0160206660112</v>
      </c>
      <c r="G16" s="17">
        <v>3.9549888560671362E-2</v>
      </c>
      <c r="H16" s="16">
        <v>78.861546302971632</v>
      </c>
      <c r="I16" s="16">
        <v>1687.293017358513</v>
      </c>
      <c r="J16" s="18">
        <v>4.6738500954879067E-2</v>
      </c>
      <c r="K16" s="16">
        <v>24710.720050239499</v>
      </c>
      <c r="L16" s="16">
        <v>464466.74083828297</v>
      </c>
      <c r="M16" s="17">
        <v>5.3202345566532659E-2</v>
      </c>
      <c r="N16" s="16">
        <v>723.32273657299993</v>
      </c>
      <c r="O16" s="16">
        <v>17023.72129627088</v>
      </c>
      <c r="P16" s="17">
        <v>4.2489108226380967E-2</v>
      </c>
      <c r="Q16" s="16">
        <v>136.41411462832471</v>
      </c>
      <c r="R16" s="16">
        <v>2427.615994049153</v>
      </c>
      <c r="S16" s="18">
        <v>5.6192624765497683E-2</v>
      </c>
      <c r="T16" s="16">
        <v>24660.432459060401</v>
      </c>
      <c r="U16" s="16">
        <v>461247.567608129</v>
      </c>
      <c r="V16" s="17">
        <v>5.3464634159353749E-2</v>
      </c>
      <c r="W16" s="16">
        <v>795.27056993299993</v>
      </c>
      <c r="X16" s="16">
        <v>19052.00798342588</v>
      </c>
      <c r="Y16" s="17">
        <v>4.1742086746175959E-2</v>
      </c>
      <c r="Z16" s="16">
        <v>132.82290870214271</v>
      </c>
      <c r="AA16" s="16">
        <v>3101.7618658318188</v>
      </c>
      <c r="AB16" s="18">
        <v>4.2821762097627301E-2</v>
      </c>
      <c r="AC16" s="16">
        <f t="shared" ca="1" si="0"/>
        <v>24660.432459060401</v>
      </c>
      <c r="AD16" s="16">
        <f t="shared" ca="1" si="1"/>
        <v>461247.567608129</v>
      </c>
      <c r="AE16" s="18">
        <f t="shared" ca="1" si="2"/>
        <v>5.3464634159353749E-2</v>
      </c>
      <c r="AF16" s="16" cm="1">
        <f t="array" aca="1" ref="AF16" ca="1">_xlfn.LET(_xlpm.data,$B16:OFFSET(AF16,0,-4),_xlpm.cols,COLUMN(_xlpm.data)-COLUMN($B16),SUMPRODUCT((MOD(_xlpm.cols,9)=3)*IFERROR(1*_xlpm.data,0)))</f>
        <v>1888.8204469379998</v>
      </c>
      <c r="AG16" s="16" cm="1">
        <f t="array" aca="1" ref="AG16" ca="1">_xlfn.LET(_xlpm.data,$B16:OFFSET(AF16,0,-4),_xlpm.cols,COLUMN(_xlpm.data)-COLUMN($B16),SUMPRODUCT((MOD(_xlpm.cols,9)=4)*IFERROR(1*_xlpm.data,0)))</f>
        <v>45436.745300362774</v>
      </c>
      <c r="AH16" s="18">
        <f t="shared" ca="1" si="3"/>
        <v>4.1570328914446238E-2</v>
      </c>
      <c r="AI16" s="16" cm="1">
        <f t="array" aca="1" ref="AI16" ca="1">_xlfn.LET(_xlpm.data,$B16:OFFSET(AF16,0,-4),_xlpm.cols,COLUMN(_xlpm.data)-COLUMN($B16),SUMPRODUCT((MOD(_xlpm.cols,9)=6)*IFERROR(1*_xlpm.data,0)))</f>
        <v>348.09856963343907</v>
      </c>
      <c r="AJ16" s="16" cm="1">
        <f t="array" aca="1" ref="AJ16" ca="1">_xlfn.LET(_xlpm.data,$B16:OFFSET(AF16,0,-4),_xlpm.cols,COLUMN(_xlpm.data)-COLUMN($B16),SUMPRODUCT((MOD(_xlpm.cols,9)=7)*IFERROR(1*_xlpm.data,0)))</f>
        <v>7216.670877239485</v>
      </c>
      <c r="AK16" s="18">
        <f t="shared" ca="1" si="4"/>
        <v>4.8235339473676184E-2</v>
      </c>
    </row>
    <row r="17" spans="1:37" ht="14.55" customHeight="1" x14ac:dyDescent="0.3">
      <c r="A17" s="11" t="s">
        <v>23</v>
      </c>
      <c r="B17" s="12">
        <v>17416.354200440001</v>
      </c>
      <c r="C17" s="12">
        <v>314115.92714408401</v>
      </c>
      <c r="D17" s="13">
        <v>5.5445625947044608E-2</v>
      </c>
      <c r="E17" s="12">
        <v>261.08396697199998</v>
      </c>
      <c r="F17" s="12">
        <v>7359.2334541880091</v>
      </c>
      <c r="G17" s="13">
        <v>3.5477060022252968E-2</v>
      </c>
      <c r="H17" s="12">
        <v>100.7385892102115</v>
      </c>
      <c r="I17" s="12">
        <v>5039.3807410664858</v>
      </c>
      <c r="J17" s="14">
        <v>1.999027150087734E-2</v>
      </c>
      <c r="K17" s="12">
        <v>17807.471753322901</v>
      </c>
      <c r="L17" s="12">
        <v>323074.40524644603</v>
      </c>
      <c r="M17" s="13">
        <v>5.5118794507225337E-2</v>
      </c>
      <c r="N17" s="12">
        <v>479.62024678900008</v>
      </c>
      <c r="O17" s="12">
        <v>13708.694668964519</v>
      </c>
      <c r="P17" s="13">
        <v>3.4986573001354028E-2</v>
      </c>
      <c r="Q17" s="12">
        <v>149.91559151387781</v>
      </c>
      <c r="R17" s="12">
        <v>8660.4879249971455</v>
      </c>
      <c r="S17" s="14">
        <v>1.731029392479953E-2</v>
      </c>
      <c r="T17" s="12">
        <v>17911.278113155098</v>
      </c>
      <c r="U17" s="12">
        <v>323750.70039130899</v>
      </c>
      <c r="V17" s="13">
        <v>5.5324291473365789E-2</v>
      </c>
      <c r="W17" s="12">
        <v>533.41230609500008</v>
      </c>
      <c r="X17" s="12">
        <v>15302.50432059852</v>
      </c>
      <c r="Y17" s="13">
        <v>3.4857843848276532E-2</v>
      </c>
      <c r="Z17" s="12">
        <v>167.2188503803244</v>
      </c>
      <c r="AA17" s="12">
        <v>9707.9837472484178</v>
      </c>
      <c r="AB17" s="14">
        <v>1.7224879515040401E-2</v>
      </c>
      <c r="AC17" s="12">
        <f t="shared" ca="1" si="0"/>
        <v>17911.278113155098</v>
      </c>
      <c r="AD17" s="12">
        <f t="shared" ca="1" si="1"/>
        <v>323750.70039130899</v>
      </c>
      <c r="AE17" s="14">
        <f t="shared" ca="1" si="2"/>
        <v>5.5324291473365789E-2</v>
      </c>
      <c r="AF17" s="12" cm="1">
        <f t="array" aca="1" ref="AF17" ca="1">_xlfn.LET(_xlpm.data,$B17:OFFSET(AF17,0,-4),_xlpm.cols,COLUMN(_xlpm.data)-COLUMN($B17),SUMPRODUCT((MOD(_xlpm.cols,9)=3)*IFERROR(1*_xlpm.data,0)))</f>
        <v>1274.1165198560002</v>
      </c>
      <c r="AG17" s="12" cm="1">
        <f t="array" aca="1" ref="AG17" ca="1">_xlfn.LET(_xlpm.data,$B17:OFFSET(AF17,0,-4),_xlpm.cols,COLUMN(_xlpm.data)-COLUMN($B17),SUMPRODUCT((MOD(_xlpm.cols,9)=4)*IFERROR(1*_xlpm.data,0)))</f>
        <v>36370.432443751051</v>
      </c>
      <c r="AH17" s="14">
        <f t="shared" ca="1" si="3"/>
        <v>3.5031657152454654E-2</v>
      </c>
      <c r="AI17" s="12" cm="1">
        <f t="array" aca="1" ref="AI17" ca="1">_xlfn.LET(_xlpm.data,$B17:OFFSET(AF17,0,-4),_xlpm.cols,COLUMN(_xlpm.data)-COLUMN($B17),SUMPRODUCT((MOD(_xlpm.cols,9)=6)*IFERROR(1*_xlpm.data,0)))</f>
        <v>417.87303110441371</v>
      </c>
      <c r="AJ17" s="12" cm="1">
        <f t="array" aca="1" ref="AJ17" ca="1">_xlfn.LET(_xlpm.data,$B17:OFFSET(AF17,0,-4),_xlpm.cols,COLUMN(_xlpm.data)-COLUMN($B17),SUMPRODUCT((MOD(_xlpm.cols,9)=7)*IFERROR(1*_xlpm.data,0)))</f>
        <v>23407.852413312048</v>
      </c>
      <c r="AK17" s="14">
        <f t="shared" ca="1" si="4"/>
        <v>1.7851831245602405E-2</v>
      </c>
    </row>
    <row r="18" spans="1:37" ht="14.55" customHeight="1" x14ac:dyDescent="0.3">
      <c r="A18" s="11" t="s">
        <v>24</v>
      </c>
      <c r="B18" s="12">
        <v>54872.073378814202</v>
      </c>
      <c r="C18" s="12">
        <v>481760.13485918002</v>
      </c>
      <c r="D18" s="13">
        <v>0.1138991572950582</v>
      </c>
      <c r="E18" s="12">
        <v>531.64338284199994</v>
      </c>
      <c r="F18" s="12">
        <v>11787.288165856</v>
      </c>
      <c r="G18" s="13">
        <v>4.5103112383559137E-2</v>
      </c>
      <c r="H18" s="12">
        <v>289.73822196864171</v>
      </c>
      <c r="I18" s="12">
        <v>8874.5144044266963</v>
      </c>
      <c r="J18" s="14">
        <v>3.2648346575911508E-2</v>
      </c>
      <c r="K18" s="12">
        <v>54804.602237455198</v>
      </c>
      <c r="L18" s="12">
        <v>485167.28262995899</v>
      </c>
      <c r="M18" s="13">
        <v>0.112960218463979</v>
      </c>
      <c r="N18" s="12">
        <v>868.56188167899995</v>
      </c>
      <c r="O18" s="12">
        <v>20348.692903693001</v>
      </c>
      <c r="P18" s="13">
        <v>4.2683915167905859E-2</v>
      </c>
      <c r="Q18" s="12">
        <v>247.93557210089509</v>
      </c>
      <c r="R18" s="12">
        <v>13381.66925997772</v>
      </c>
      <c r="S18" s="14">
        <v>1.8528000302804361E-2</v>
      </c>
      <c r="T18" s="12">
        <v>54357.690125700698</v>
      </c>
      <c r="U18" s="12">
        <v>483780.284587854</v>
      </c>
      <c r="V18" s="13">
        <v>0.112360283908654</v>
      </c>
      <c r="W18" s="12">
        <v>987.91541486400001</v>
      </c>
      <c r="X18" s="12">
        <v>23061.602995950001</v>
      </c>
      <c r="Y18" s="13">
        <v>4.2838106918998399E-2</v>
      </c>
      <c r="Z18" s="12">
        <v>314.69723760219262</v>
      </c>
      <c r="AA18" s="12">
        <v>15291.749282860501</v>
      </c>
      <c r="AB18" s="14">
        <v>2.057954468001353E-2</v>
      </c>
      <c r="AC18" s="12">
        <f t="shared" ca="1" si="0"/>
        <v>54357.690125700698</v>
      </c>
      <c r="AD18" s="12">
        <f t="shared" ca="1" si="1"/>
        <v>483780.284587854</v>
      </c>
      <c r="AE18" s="14">
        <f t="shared" ca="1" si="2"/>
        <v>0.11236028390865399</v>
      </c>
      <c r="AF18" s="12" cm="1">
        <f t="array" aca="1" ref="AF18" ca="1">_xlfn.LET(_xlpm.data,$B18:OFFSET(AF18,0,-4),_xlpm.cols,COLUMN(_xlpm.data)-COLUMN($B18),SUMPRODUCT((MOD(_xlpm.cols,9)=3)*IFERROR(1*_xlpm.data,0)))</f>
        <v>2388.1206793849997</v>
      </c>
      <c r="AG18" s="12" cm="1">
        <f t="array" aca="1" ref="AG18" ca="1">_xlfn.LET(_xlpm.data,$B18:OFFSET(AF18,0,-4),_xlpm.cols,COLUMN(_xlpm.data)-COLUMN($B18),SUMPRODUCT((MOD(_xlpm.cols,9)=4)*IFERROR(1*_xlpm.data,0)))</f>
        <v>55197.584065499002</v>
      </c>
      <c r="AH18" s="14">
        <f t="shared" ca="1" si="3"/>
        <v>4.3264949359942795E-2</v>
      </c>
      <c r="AI18" s="12" cm="1">
        <f t="array" aca="1" ref="AI18" ca="1">_xlfn.LET(_xlpm.data,$B18:OFFSET(AF18,0,-4),_xlpm.cols,COLUMN(_xlpm.data)-COLUMN($B18),SUMPRODUCT((MOD(_xlpm.cols,9)=6)*IFERROR(1*_xlpm.data,0)))</f>
        <v>852.3710316717295</v>
      </c>
      <c r="AJ18" s="12" cm="1">
        <f t="array" aca="1" ref="AJ18" ca="1">_xlfn.LET(_xlpm.data,$B18:OFFSET(AF18,0,-4),_xlpm.cols,COLUMN(_xlpm.data)-COLUMN($B18),SUMPRODUCT((MOD(_xlpm.cols,9)=7)*IFERROR(1*_xlpm.data,0)))</f>
        <v>37547.932947264919</v>
      </c>
      <c r="AK18" s="14">
        <f t="shared" ca="1" si="4"/>
        <v>2.2700877645351666E-2</v>
      </c>
    </row>
    <row r="19" spans="1:37" ht="14.55" customHeight="1" x14ac:dyDescent="0.3">
      <c r="A19" s="7" t="s">
        <v>25</v>
      </c>
      <c r="B19" s="8">
        <v>13467.552582336801</v>
      </c>
      <c r="C19" s="8">
        <v>180833.392206713</v>
      </c>
      <c r="D19" s="9">
        <v>7.4474920909197259E-2</v>
      </c>
      <c r="E19" s="8">
        <v>513.26201911299995</v>
      </c>
      <c r="F19" s="8">
        <v>6123.1403933858001</v>
      </c>
      <c r="G19" s="9">
        <v>8.3823330209352093E-2</v>
      </c>
      <c r="H19" s="8">
        <v>424.91431433740331</v>
      </c>
      <c r="I19" s="8">
        <v>4587.1612090757426</v>
      </c>
      <c r="J19" s="10">
        <v>9.2631214594487365E-2</v>
      </c>
      <c r="K19" s="8">
        <v>13958.6127782242</v>
      </c>
      <c r="L19" s="8">
        <v>185046.37109189501</v>
      </c>
      <c r="M19" s="9">
        <v>7.5433053325278568E-2</v>
      </c>
      <c r="N19" s="8">
        <v>994.56909784899995</v>
      </c>
      <c r="O19" s="8">
        <v>11167.348405887211</v>
      </c>
      <c r="P19" s="9">
        <v>8.906045210559406E-2</v>
      </c>
      <c r="Q19" s="8">
        <v>822.58829258260539</v>
      </c>
      <c r="R19" s="8">
        <v>8059.7933972487126</v>
      </c>
      <c r="S19" s="10">
        <v>0.1020607169488245</v>
      </c>
      <c r="T19" s="8">
        <v>14009.1359379153</v>
      </c>
      <c r="U19" s="8">
        <v>185224.91975389901</v>
      </c>
      <c r="V19" s="9">
        <v>7.5633105721026536E-2</v>
      </c>
      <c r="W19" s="8">
        <v>1149.552224457</v>
      </c>
      <c r="X19" s="8">
        <v>12798.69787203421</v>
      </c>
      <c r="Y19" s="9">
        <v>8.9817904598625514E-2</v>
      </c>
      <c r="Z19" s="8">
        <v>952.01483361924818</v>
      </c>
      <c r="AA19" s="8">
        <v>9330.3550330830767</v>
      </c>
      <c r="AB19" s="10">
        <v>0.1020341487803674</v>
      </c>
      <c r="AC19" s="8">
        <f t="shared" ca="1" si="0"/>
        <v>14009.1359379153</v>
      </c>
      <c r="AD19" s="8">
        <f t="shared" ca="1" si="1"/>
        <v>185224.91975389901</v>
      </c>
      <c r="AE19" s="10">
        <f t="shared" ca="1" si="2"/>
        <v>7.5633105721026536E-2</v>
      </c>
      <c r="AF19" s="8" cm="1">
        <f t="array" aca="1" ref="AF19" ca="1">_xlfn.LET(_xlpm.data,$B19:OFFSET(AF19,0,-4),_xlpm.cols,COLUMN(_xlpm.data)-COLUMN($B19),SUMPRODUCT((MOD(_xlpm.cols,9)=3)*IFERROR(1*_xlpm.data,0)))</f>
        <v>2657.3833414189999</v>
      </c>
      <c r="AG19" s="8" cm="1">
        <f t="array" aca="1" ref="AG19" ca="1">_xlfn.LET(_xlpm.data,$B19:OFFSET(AF19,0,-4),_xlpm.cols,COLUMN(_xlpm.data)-COLUMN($B19),SUMPRODUCT((MOD(_xlpm.cols,9)=4)*IFERROR(1*_xlpm.data,0)))</f>
        <v>30089.186671307223</v>
      </c>
      <c r="AH19" s="10">
        <f t="shared" ca="1" si="3"/>
        <v>8.8316888404067651E-2</v>
      </c>
      <c r="AI19" s="8" cm="1">
        <f t="array" aca="1" ref="AI19" ca="1">_xlfn.LET(_xlpm.data,$B19:OFFSET(AF19,0,-4),_xlpm.cols,COLUMN(_xlpm.data)-COLUMN($B19),SUMPRODUCT((MOD(_xlpm.cols,9)=6)*IFERROR(1*_xlpm.data,0)))</f>
        <v>2199.5174405392568</v>
      </c>
      <c r="AJ19" s="8" cm="1">
        <f t="array" aca="1" ref="AJ19" ca="1">_xlfn.LET(_xlpm.data,$B19:OFFSET(AF19,0,-4),_xlpm.cols,COLUMN(_xlpm.data)-COLUMN($B19),SUMPRODUCT((MOD(_xlpm.cols,9)=7)*IFERROR(1*_xlpm.data,0)))</f>
        <v>21977.309639407533</v>
      </c>
      <c r="AK19" s="10">
        <f t="shared" ca="1" si="4"/>
        <v>0.10008128731986832</v>
      </c>
    </row>
    <row r="20" spans="1:37" ht="14.55" customHeight="1" x14ac:dyDescent="0.3">
      <c r="A20" s="7" t="s">
        <v>26</v>
      </c>
      <c r="B20" s="8">
        <v>5156.3405458131001</v>
      </c>
      <c r="C20" s="8">
        <v>174883.453233512</v>
      </c>
      <c r="D20" s="9">
        <v>2.9484439210656081E-2</v>
      </c>
      <c r="E20" s="8">
        <v>103.3299420060001</v>
      </c>
      <c r="F20" s="8">
        <v>2709.152569371</v>
      </c>
      <c r="G20" s="9">
        <v>3.8141056791788891E-2</v>
      </c>
      <c r="H20" s="8">
        <v>69.663821705022812</v>
      </c>
      <c r="I20" s="8">
        <v>1411.2586966139129</v>
      </c>
      <c r="J20" s="10">
        <v>4.936289985115408E-2</v>
      </c>
      <c r="K20" s="8">
        <v>5161.8579479126602</v>
      </c>
      <c r="L20" s="8">
        <v>173832.49094108</v>
      </c>
      <c r="M20" s="9">
        <v>2.9694436983373009E-2</v>
      </c>
      <c r="N20" s="8">
        <v>176.28638641100011</v>
      </c>
      <c r="O20" s="8">
        <v>4796.5328062359986</v>
      </c>
      <c r="P20" s="9">
        <v>3.675287828362378E-2</v>
      </c>
      <c r="Q20" s="8">
        <v>82.261747479156284</v>
      </c>
      <c r="R20" s="8">
        <v>1651.227878342374</v>
      </c>
      <c r="S20" s="10">
        <v>4.981853114164763E-2</v>
      </c>
      <c r="T20" s="8">
        <v>5145.0202812338703</v>
      </c>
      <c r="U20" s="8">
        <v>172824.75874978499</v>
      </c>
      <c r="V20" s="9">
        <v>2.977015746154062E-2</v>
      </c>
      <c r="W20" s="8">
        <v>193.72132554100011</v>
      </c>
      <c r="X20" s="8">
        <v>5359.7291740059991</v>
      </c>
      <c r="Y20" s="9">
        <v>3.6143864596838909E-2</v>
      </c>
      <c r="Z20" s="8">
        <v>89.6783661733717</v>
      </c>
      <c r="AA20" s="8">
        <v>1902.172380518311</v>
      </c>
      <c r="AB20" s="10">
        <v>4.7145236200378332E-2</v>
      </c>
      <c r="AC20" s="8">
        <f t="shared" ca="1" si="0"/>
        <v>5145.0202812338703</v>
      </c>
      <c r="AD20" s="8">
        <f t="shared" ca="1" si="1"/>
        <v>172824.75874978499</v>
      </c>
      <c r="AE20" s="10">
        <f t="shared" ca="1" si="2"/>
        <v>2.9770157461540627E-2</v>
      </c>
      <c r="AF20" s="8" cm="1">
        <f t="array" aca="1" ref="AF20" ca="1">_xlfn.LET(_xlpm.data,$B20:OFFSET(AF20,0,-4),_xlpm.cols,COLUMN(_xlpm.data)-COLUMN($B20),SUMPRODUCT((MOD(_xlpm.cols,9)=3)*IFERROR(1*_xlpm.data,0)))</f>
        <v>473.33765395800032</v>
      </c>
      <c r="AG20" s="8" cm="1">
        <f t="array" aca="1" ref="AG20" ca="1">_xlfn.LET(_xlpm.data,$B20:OFFSET(AF20,0,-4),_xlpm.cols,COLUMN(_xlpm.data)-COLUMN($B20),SUMPRODUCT((MOD(_xlpm.cols,9)=4)*IFERROR(1*_xlpm.data,0)))</f>
        <v>12865.414549612997</v>
      </c>
      <c r="AH20" s="10">
        <f t="shared" ca="1" si="3"/>
        <v>3.6791480922178189E-2</v>
      </c>
      <c r="AI20" s="8" cm="1">
        <f t="array" aca="1" ref="AI20" ca="1">_xlfn.LET(_xlpm.data,$B20:OFFSET(AF20,0,-4),_xlpm.cols,COLUMN(_xlpm.data)-COLUMN($B20),SUMPRODUCT((MOD(_xlpm.cols,9)=6)*IFERROR(1*_xlpm.data,0)))</f>
        <v>241.6039353575508</v>
      </c>
      <c r="AJ20" s="8" cm="1">
        <f t="array" aca="1" ref="AJ20" ca="1">_xlfn.LET(_xlpm.data,$B20:OFFSET(AF20,0,-4),_xlpm.cols,COLUMN(_xlpm.data)-COLUMN($B20),SUMPRODUCT((MOD(_xlpm.cols,9)=7)*IFERROR(1*_xlpm.data,0)))</f>
        <v>4964.6589554745979</v>
      </c>
      <c r="AK20" s="10">
        <f t="shared" ca="1" si="4"/>
        <v>4.8664759759808031E-2</v>
      </c>
    </row>
    <row r="21" spans="1:37" ht="14.55" customHeight="1" x14ac:dyDescent="0.3">
      <c r="A21" s="19" t="s">
        <v>27</v>
      </c>
      <c r="B21" s="20">
        <v>249742.02454927229</v>
      </c>
      <c r="C21" s="20">
        <v>2942798.5362710301</v>
      </c>
      <c r="D21" s="21">
        <v>8.486548483394761E-2</v>
      </c>
      <c r="E21" s="20">
        <v>4647.6523552089993</v>
      </c>
      <c r="F21" s="20">
        <v>64159.675123732581</v>
      </c>
      <c r="G21" s="21">
        <v>7.2438838666903385E-2</v>
      </c>
      <c r="H21" s="20">
        <v>3100.363167650522</v>
      </c>
      <c r="I21" s="20">
        <v>38197.410439384497</v>
      </c>
      <c r="J21" s="22">
        <v>8.1166841730553732E-2</v>
      </c>
      <c r="K21" s="20">
        <v>252440.253552351</v>
      </c>
      <c r="L21" s="20">
        <v>2982860.768799386</v>
      </c>
      <c r="M21" s="21">
        <v>8.4630250326420464E-2</v>
      </c>
      <c r="N21" s="20">
        <v>8420.8144380409994</v>
      </c>
      <c r="O21" s="20">
        <v>115633.1780962559</v>
      </c>
      <c r="P21" s="21">
        <v>7.2823514640679585E-2</v>
      </c>
      <c r="Q21" s="20">
        <v>5034.7095589671617</v>
      </c>
      <c r="R21" s="20">
        <v>61735.53207807109</v>
      </c>
      <c r="S21" s="22">
        <v>8.1552865740271596E-2</v>
      </c>
      <c r="T21" s="20">
        <v>252175.78702942401</v>
      </c>
      <c r="U21" s="20">
        <v>2967790.5864315229</v>
      </c>
      <c r="V21" s="21">
        <v>8.4970883114984422E-2</v>
      </c>
      <c r="W21" s="20">
        <v>9452.4311858609999</v>
      </c>
      <c r="X21" s="20">
        <v>130846.88042803291</v>
      </c>
      <c r="Y21" s="21">
        <v>7.2240401566623022E-2</v>
      </c>
      <c r="Z21" s="20">
        <v>5699.9514882525391</v>
      </c>
      <c r="AA21" s="20">
        <v>71411.546620626119</v>
      </c>
      <c r="AB21" s="22">
        <v>7.981834532353059E-2</v>
      </c>
      <c r="AC21" s="20">
        <f t="shared" ca="1" si="0"/>
        <v>252175.78702942401</v>
      </c>
      <c r="AD21" s="20">
        <f t="shared" ca="1" si="1"/>
        <v>2967790.5864315229</v>
      </c>
      <c r="AE21" s="22">
        <f t="shared" ca="1" si="2"/>
        <v>8.4970883114984422E-2</v>
      </c>
      <c r="AF21" s="20" cm="1">
        <f t="array" aca="1" ref="AF21" ca="1">_xlfn.LET(_xlpm.data,$B21:OFFSET(AF21,0,-4),_xlpm.cols,COLUMN(_xlpm.data)-COLUMN($B21),SUMPRODUCT((MOD(_xlpm.cols,9)=3)*IFERROR(1*_xlpm.data,0)))</f>
        <v>22520.897979110996</v>
      </c>
      <c r="AG21" s="20" cm="1">
        <f t="array" aca="1" ref="AG21" ca="1">_xlfn.LET(_xlpm.data,$B21:OFFSET(AF21,0,-4),_xlpm.cols,COLUMN(_xlpm.data)-COLUMN($B21),SUMPRODUCT((MOD(_xlpm.cols,9)=4)*IFERROR(1*_xlpm.data,0)))</f>
        <v>310639.73364802136</v>
      </c>
      <c r="AH21" s="22">
        <f t="shared" ca="1" si="3"/>
        <v>7.2498446076537326E-2</v>
      </c>
      <c r="AI21" s="20" cm="1">
        <f t="array" aca="1" ref="AI21" ca="1">_xlfn.LET(_xlpm.data,$B21:OFFSET(AF21,0,-4),_xlpm.cols,COLUMN(_xlpm.data)-COLUMN($B21),SUMPRODUCT((MOD(_xlpm.cols,9)=6)*IFERROR(1*_xlpm.data,0)))</f>
        <v>13835.024214870224</v>
      </c>
      <c r="AJ21" s="20" cm="1">
        <f t="array" aca="1" ref="AJ21" ca="1">_xlfn.LET(_xlpm.data,$B21:OFFSET(AF21,0,-4),_xlpm.cols,COLUMN(_xlpm.data)-COLUMN($B21),SUMPRODUCT((MOD(_xlpm.cols,9)=7)*IFERROR(1*_xlpm.data,0)))</f>
        <v>171344.4891380817</v>
      </c>
      <c r="AK21" s="22">
        <f t="shared" ca="1" si="4"/>
        <v>8.0743911195888932E-2</v>
      </c>
    </row>
    <row r="22" spans="1:37" ht="14.55" customHeight="1" x14ac:dyDescent="0.3">
      <c r="A22" s="19" t="s">
        <v>28</v>
      </c>
      <c r="B22" s="20">
        <v>4372.9246375881203</v>
      </c>
      <c r="C22" s="20">
        <v>197574.15413071701</v>
      </c>
      <c r="D22" s="21">
        <v>2.213308039620886E-2</v>
      </c>
      <c r="E22" s="20">
        <v>343.06338618799998</v>
      </c>
      <c r="F22" s="20">
        <v>11362.280988803301</v>
      </c>
      <c r="G22" s="21">
        <v>3.019317921516498E-2</v>
      </c>
      <c r="H22" s="20">
        <v>238.78092259621539</v>
      </c>
      <c r="I22" s="20">
        <v>8460.0888576871348</v>
      </c>
      <c r="J22" s="22">
        <v>2.8224398893783569E-2</v>
      </c>
      <c r="K22" s="20">
        <v>4527.0610776880094</v>
      </c>
      <c r="L22" s="20">
        <v>201612.06655588301</v>
      </c>
      <c r="M22" s="21">
        <v>2.2454316128113268E-2</v>
      </c>
      <c r="N22" s="20">
        <v>589.32712855199986</v>
      </c>
      <c r="O22" s="20">
        <v>16479.0346937473</v>
      </c>
      <c r="P22" s="21">
        <v>3.5762236047455521E-2</v>
      </c>
      <c r="Q22" s="20">
        <v>361.80761627214542</v>
      </c>
      <c r="R22" s="20">
        <v>10634.615743566101</v>
      </c>
      <c r="S22" s="22">
        <v>3.4021691521015918E-2</v>
      </c>
      <c r="T22" s="20">
        <v>4525.14203877215</v>
      </c>
      <c r="U22" s="20">
        <v>200644.41152026699</v>
      </c>
      <c r="V22" s="21">
        <v>2.255304299026074E-2</v>
      </c>
      <c r="W22" s="20">
        <v>653.55732353999986</v>
      </c>
      <c r="X22" s="20">
        <v>17831.656175903299</v>
      </c>
      <c r="Y22" s="21">
        <v>3.6651521153889262E-2</v>
      </c>
      <c r="Z22" s="20">
        <v>413.40022415353138</v>
      </c>
      <c r="AA22" s="20">
        <v>11427.78314478325</v>
      </c>
      <c r="AB22" s="22">
        <v>3.6175014778981628E-2</v>
      </c>
      <c r="AC22" s="20">
        <f t="shared" ca="1" si="0"/>
        <v>4525.14203877215</v>
      </c>
      <c r="AD22" s="20">
        <f t="shared" ca="1" si="1"/>
        <v>200644.41152026699</v>
      </c>
      <c r="AE22" s="22">
        <f t="shared" ca="1" si="2"/>
        <v>2.2553042990260747E-2</v>
      </c>
      <c r="AF22" s="20" cm="1">
        <f t="array" aca="1" ref="AF22" ca="1">_xlfn.LET(_xlpm.data,$B22:OFFSET(AF22,0,-4),_xlpm.cols,COLUMN(_xlpm.data)-COLUMN($B22),SUMPRODUCT((MOD(_xlpm.cols,9)=3)*IFERROR(1*_xlpm.data,0)))</f>
        <v>1585.9478382799998</v>
      </c>
      <c r="AG22" s="20" cm="1">
        <f t="array" aca="1" ref="AG22" ca="1">_xlfn.LET(_xlpm.data,$B22:OFFSET(AF22,0,-4),_xlpm.cols,COLUMN(_xlpm.data)-COLUMN($B22),SUMPRODUCT((MOD(_xlpm.cols,9)=4)*IFERROR(1*_xlpm.data,0)))</f>
        <v>45672.9718584539</v>
      </c>
      <c r="AH22" s="22">
        <f t="shared" ca="1" si="3"/>
        <v>3.4723990442203874E-2</v>
      </c>
      <c r="AI22" s="20" cm="1">
        <f t="array" aca="1" ref="AI22" ca="1">_xlfn.LET(_xlpm.data,$B22:OFFSET(AF22,0,-4),_xlpm.cols,COLUMN(_xlpm.data)-COLUMN($B22),SUMPRODUCT((MOD(_xlpm.cols,9)=6)*IFERROR(1*_xlpm.data,0)))</f>
        <v>1013.9887630218923</v>
      </c>
      <c r="AJ22" s="20" cm="1">
        <f t="array" aca="1" ref="AJ22" ca="1">_xlfn.LET(_xlpm.data,$B22:OFFSET(AF22,0,-4),_xlpm.cols,COLUMN(_xlpm.data)-COLUMN($B22),SUMPRODUCT((MOD(_xlpm.cols,9)=7)*IFERROR(1*_xlpm.data,0)))</f>
        <v>30522.487746036488</v>
      </c>
      <c r="AK22" s="22">
        <f t="shared" ca="1" si="4"/>
        <v>3.3221039236998769E-2</v>
      </c>
    </row>
    <row r="23" spans="1:37" ht="14.55" customHeight="1" x14ac:dyDescent="0.3">
      <c r="A23" s="3" t="s">
        <v>29</v>
      </c>
      <c r="B23" s="4">
        <v>0</v>
      </c>
      <c r="C23" s="4">
        <v>47173.300978113999</v>
      </c>
      <c r="D23" s="5">
        <v>0</v>
      </c>
      <c r="E23" s="4">
        <v>0</v>
      </c>
      <c r="F23" s="4">
        <v>515.80843985000001</v>
      </c>
      <c r="G23" s="5">
        <v>0</v>
      </c>
      <c r="H23" s="4">
        <v>0</v>
      </c>
      <c r="I23" s="4">
        <v>317.24190772893411</v>
      </c>
      <c r="J23" s="6" t="s">
        <v>11</v>
      </c>
      <c r="K23" s="4">
        <v>0</v>
      </c>
      <c r="L23" s="4">
        <v>47470.9617949495</v>
      </c>
      <c r="M23" s="5">
        <v>0</v>
      </c>
      <c r="N23" s="4">
        <v>0</v>
      </c>
      <c r="O23" s="4">
        <v>974.11585665794746</v>
      </c>
      <c r="P23" s="5">
        <v>0</v>
      </c>
      <c r="Q23" s="4">
        <v>0</v>
      </c>
      <c r="R23" s="4">
        <v>600.71942398748467</v>
      </c>
      <c r="S23" s="6" t="s">
        <v>11</v>
      </c>
      <c r="T23" s="4">
        <v>0</v>
      </c>
      <c r="U23" s="4">
        <v>47286.528267597801</v>
      </c>
      <c r="V23" s="5">
        <v>0</v>
      </c>
      <c r="W23" s="4">
        <v>0</v>
      </c>
      <c r="X23" s="4">
        <v>1113.749806710947</v>
      </c>
      <c r="Y23" s="5">
        <v>0</v>
      </c>
      <c r="Z23" s="4">
        <v>0</v>
      </c>
      <c r="AA23" s="4">
        <v>696.03271999470508</v>
      </c>
      <c r="AB23" s="6" t="s">
        <v>11</v>
      </c>
      <c r="AC23" s="4">
        <f t="shared" ca="1" si="0"/>
        <v>0</v>
      </c>
      <c r="AD23" s="4">
        <f t="shared" ca="1" si="1"/>
        <v>47286.528267597801</v>
      </c>
      <c r="AE23" s="6">
        <f t="shared" ca="1" si="2"/>
        <v>0</v>
      </c>
      <c r="AF23" s="4" cm="1">
        <f t="array" aca="1" ref="AF23" ca="1">_xlfn.LET(_xlpm.data,$B23:OFFSET(AF23,0,-4),_xlpm.cols,COLUMN(_xlpm.data)-COLUMN($B23),SUMPRODUCT((MOD(_xlpm.cols,9)=3)*IFERROR(1*_xlpm.data,0)))</f>
        <v>0</v>
      </c>
      <c r="AG23" s="4" cm="1">
        <f t="array" aca="1" ref="AG23" ca="1">_xlfn.LET(_xlpm.data,$B23:OFFSET(AF23,0,-4),_xlpm.cols,COLUMN(_xlpm.data)-COLUMN($B23),SUMPRODUCT((MOD(_xlpm.cols,9)=4)*IFERROR(1*_xlpm.data,0)))</f>
        <v>2603.6741032188947</v>
      </c>
      <c r="AH23" s="6">
        <f t="shared" ca="1" si="3"/>
        <v>0</v>
      </c>
      <c r="AI23" s="4" cm="1">
        <f t="array" aca="1" ref="AI23" ca="1">_xlfn.LET(_xlpm.data,$B23:OFFSET(AF23,0,-4),_xlpm.cols,COLUMN(_xlpm.data)-COLUMN($B23),SUMPRODUCT((MOD(_xlpm.cols,9)=6)*IFERROR(1*_xlpm.data,0)))</f>
        <v>0</v>
      </c>
      <c r="AJ23" s="4" cm="1">
        <f t="array" aca="1" ref="AJ23" ca="1">_xlfn.LET(_xlpm.data,$B23:OFFSET(AF23,0,-4),_xlpm.cols,COLUMN(_xlpm.data)-COLUMN($B23),SUMPRODUCT((MOD(_xlpm.cols,9)=7)*IFERROR(1*_xlpm.data,0)))</f>
        <v>1613.9940517111238</v>
      </c>
      <c r="AK23" s="6" t="str">
        <f t="shared" ca="1" si="4"/>
        <v>N.A</v>
      </c>
    </row>
    <row r="24" spans="1:37" ht="14.55" customHeight="1" x14ac:dyDescent="0.3">
      <c r="A24" s="3" t="s">
        <v>30</v>
      </c>
      <c r="B24" s="4">
        <v>13870.1278849428</v>
      </c>
      <c r="C24" s="4">
        <v>697538.75411909597</v>
      </c>
      <c r="D24" s="5">
        <v>1.9884383201703298E-2</v>
      </c>
      <c r="E24" s="4">
        <v>485.46060240000003</v>
      </c>
      <c r="F24" s="4">
        <v>7166.8203544890011</v>
      </c>
      <c r="G24" s="5">
        <v>6.7737236094654929E-2</v>
      </c>
      <c r="H24" s="4">
        <v>-48.968180563999987</v>
      </c>
      <c r="I24" s="4">
        <v>5467.6804074890006</v>
      </c>
      <c r="J24" s="6" t="s">
        <v>11</v>
      </c>
      <c r="K24" s="4">
        <v>13373.790013813499</v>
      </c>
      <c r="L24" s="4">
        <v>693805.15162680193</v>
      </c>
      <c r="M24" s="5">
        <v>1.927600275445528E-2</v>
      </c>
      <c r="N24" s="4">
        <v>684.620371525</v>
      </c>
      <c r="O24" s="4">
        <v>13309.778723371999</v>
      </c>
      <c r="P24" s="5">
        <v>5.1437396951070649E-2</v>
      </c>
      <c r="Q24" s="4">
        <v>-277.51856733199998</v>
      </c>
      <c r="R24" s="4">
        <v>8306.2836886790028</v>
      </c>
      <c r="S24" s="6" t="s">
        <v>11</v>
      </c>
      <c r="T24" s="4">
        <v>13168.058995756501</v>
      </c>
      <c r="U24" s="4">
        <v>690401.92841955705</v>
      </c>
      <c r="V24" s="5">
        <v>1.907303333566918E-2</v>
      </c>
      <c r="W24" s="4">
        <v>744.77479937500004</v>
      </c>
      <c r="X24" s="4">
        <v>16660.345613932001</v>
      </c>
      <c r="Y24" s="5">
        <v>4.4703442331483913E-2</v>
      </c>
      <c r="Z24" s="4">
        <v>-474.24068410699999</v>
      </c>
      <c r="AA24" s="4">
        <v>10251.943999376999</v>
      </c>
      <c r="AB24" s="6" t="s">
        <v>11</v>
      </c>
      <c r="AC24" s="4">
        <f t="shared" ca="1" si="0"/>
        <v>13168.058995756501</v>
      </c>
      <c r="AD24" s="4">
        <f t="shared" ca="1" si="1"/>
        <v>690401.92841955705</v>
      </c>
      <c r="AE24" s="6">
        <f t="shared" ca="1" si="2"/>
        <v>1.9073033335669183E-2</v>
      </c>
      <c r="AF24" s="4" cm="1">
        <f t="array" aca="1" ref="AF24" ca="1">_xlfn.LET(_xlpm.data,$B24:OFFSET(AF24,0,-4),_xlpm.cols,COLUMN(_xlpm.data)-COLUMN($B24),SUMPRODUCT((MOD(_xlpm.cols,9)=3)*IFERROR(1*_xlpm.data,0)))</f>
        <v>1914.8557733000002</v>
      </c>
      <c r="AG24" s="4" cm="1">
        <f t="array" aca="1" ref="AG24" ca="1">_xlfn.LET(_xlpm.data,$B24:OFFSET(AF24,0,-4),_xlpm.cols,COLUMN(_xlpm.data)-COLUMN($B24),SUMPRODUCT((MOD(_xlpm.cols,9)=4)*IFERROR(1*_xlpm.data,0)))</f>
        <v>37136.944691793004</v>
      </c>
      <c r="AH24" s="6">
        <f t="shared" ca="1" si="3"/>
        <v>5.1562016993906598E-2</v>
      </c>
      <c r="AI24" s="4" cm="1">
        <f t="array" aca="1" ref="AI24" ca="1">_xlfn.LET(_xlpm.data,$B24:OFFSET(AF24,0,-4),_xlpm.cols,COLUMN(_xlpm.data)-COLUMN($B24),SUMPRODUCT((MOD(_xlpm.cols,9)=6)*IFERROR(1*_xlpm.data,0)))</f>
        <v>-800.72743200299988</v>
      </c>
      <c r="AJ24" s="4" cm="1">
        <f t="array" aca="1" ref="AJ24" ca="1">_xlfn.LET(_xlpm.data,$B24:OFFSET(AF24,0,-4),_xlpm.cols,COLUMN(_xlpm.data)-COLUMN($B24),SUMPRODUCT((MOD(_xlpm.cols,9)=7)*IFERROR(1*_xlpm.data,0)))</f>
        <v>24025.908095545004</v>
      </c>
      <c r="AK24" s="6" t="str">
        <f t="shared" ca="1" si="4"/>
        <v>N.A</v>
      </c>
    </row>
    <row r="25" spans="1:37" ht="14.55" customHeight="1" x14ac:dyDescent="0.3">
      <c r="A25" s="3" t="s">
        <v>31</v>
      </c>
      <c r="B25" s="4">
        <v>286058.92921832431</v>
      </c>
      <c r="C25" s="4">
        <v>3879109.804416372</v>
      </c>
      <c r="D25" s="5">
        <v>7.3743447244686358E-2</v>
      </c>
      <c r="E25" s="4">
        <v>5358.1602020169994</v>
      </c>
      <c r="F25" s="4">
        <v>84169.569810670437</v>
      </c>
      <c r="G25" s="5">
        <v>6.3659113549820345E-2</v>
      </c>
      <c r="H25" s="4">
        <v>3443.2644530333409</v>
      </c>
      <c r="I25" s="4">
        <v>49369.075274889517</v>
      </c>
      <c r="J25" s="6">
        <v>6.9745370636599316E-2</v>
      </c>
      <c r="K25" s="4">
        <v>288770.57243120152</v>
      </c>
      <c r="L25" s="4">
        <v>3920233.380344158</v>
      </c>
      <c r="M25" s="5">
        <v>7.3661576853837799E-2</v>
      </c>
      <c r="N25" s="4">
        <v>9601.9851171299997</v>
      </c>
      <c r="O25" s="4">
        <v>147173.97079187809</v>
      </c>
      <c r="P25" s="5">
        <v>6.5242413896057574E-2</v>
      </c>
      <c r="Q25" s="4">
        <v>5468.9413442703717</v>
      </c>
      <c r="R25" s="4">
        <v>75363.913110173264</v>
      </c>
      <c r="S25" s="6">
        <v>7.256710962281665E-2</v>
      </c>
      <c r="T25" s="4">
        <v>288424.87002721278</v>
      </c>
      <c r="U25" s="4">
        <v>3900515.7197087891</v>
      </c>
      <c r="V25" s="5">
        <v>7.3945316658984392E-2</v>
      </c>
      <c r="W25" s="4">
        <v>10750.405019864</v>
      </c>
      <c r="X25" s="4">
        <v>165899.84242964961</v>
      </c>
      <c r="Y25" s="5">
        <v>6.4800574023587409E-2</v>
      </c>
      <c r="Z25" s="4">
        <v>6173.8721280396067</v>
      </c>
      <c r="AA25" s="4">
        <v>86597.18916254089</v>
      </c>
      <c r="AB25" s="6">
        <v>7.1294140003221054E-2</v>
      </c>
      <c r="AC25" s="4">
        <f t="shared" ca="1" si="0"/>
        <v>288424.87002721278</v>
      </c>
      <c r="AD25" s="4">
        <f t="shared" ca="1" si="1"/>
        <v>3900515.7197087891</v>
      </c>
      <c r="AE25" s="6">
        <f t="shared" ca="1" si="2"/>
        <v>7.3945316658984378E-2</v>
      </c>
      <c r="AF25" s="4" cm="1">
        <f t="array" aca="1" ref="AF25" ca="1">_xlfn.LET(_xlpm.data,$B25:OFFSET(AF25,0,-4),_xlpm.cols,COLUMN(_xlpm.data)-COLUMN($B25),SUMPRODUCT((MOD(_xlpm.cols,9)=3)*IFERROR(1*_xlpm.data,0)))</f>
        <v>25710.550339010999</v>
      </c>
      <c r="AG25" s="4" cm="1">
        <f t="array" aca="1" ref="AG25" ca="1">_xlfn.LET(_xlpm.data,$B25:OFFSET(AF25,0,-4),_xlpm.cols,COLUMN(_xlpm.data)-COLUMN($B25),SUMPRODUCT((MOD(_xlpm.cols,9)=4)*IFERROR(1*_xlpm.data,0)))</f>
        <v>397243.38303219812</v>
      </c>
      <c r="AH25" s="6">
        <f t="shared" ca="1" si="3"/>
        <v>6.4722413102918971E-2</v>
      </c>
      <c r="AI25" s="4" cm="1">
        <f t="array" aca="1" ref="AI25" ca="1">_xlfn.LET(_xlpm.data,$B25:OFFSET(AF25,0,-4),_xlpm.cols,COLUMN(_xlpm.data)-COLUMN($B25),SUMPRODUCT((MOD(_xlpm.cols,9)=6)*IFERROR(1*_xlpm.data,0)))</f>
        <v>15086.077925343317</v>
      </c>
      <c r="AJ25" s="4" cm="1">
        <f t="array" aca="1" ref="AJ25" ca="1">_xlfn.LET(_xlpm.data,$B25:OFFSET(AF25,0,-4),_xlpm.cols,COLUMN(_xlpm.data)-COLUMN($B25),SUMPRODUCT((MOD(_xlpm.cols,9)=7)*IFERROR(1*_xlpm.data,0)))</f>
        <v>211330.17754760367</v>
      </c>
      <c r="AK25" s="6">
        <f t="shared" ca="1" si="4"/>
        <v>7.1386292769025222E-2</v>
      </c>
    </row>
    <row r="26" spans="1:37" ht="14.55" customHeight="1" x14ac:dyDescent="0.3">
      <c r="A26" s="23" t="s">
        <v>32</v>
      </c>
      <c r="B26" s="24">
        <v>380127.80496975122</v>
      </c>
      <c r="C26" s="24">
        <v>4909858.1038990002</v>
      </c>
      <c r="D26" s="25">
        <v>7.7421342312904179E-2</v>
      </c>
      <c r="E26" s="24">
        <v>12242.272531212</v>
      </c>
      <c r="F26" s="24">
        <v>121139.0350353617</v>
      </c>
      <c r="G26" s="25">
        <v>0.1010596834260597</v>
      </c>
      <c r="H26" s="24">
        <v>6294.568060960888</v>
      </c>
      <c r="I26" s="24">
        <v>65505.676369832247</v>
      </c>
      <c r="J26" s="26">
        <v>9.6091948206488045E-2</v>
      </c>
      <c r="K26" s="24">
        <v>384332.15030312288</v>
      </c>
      <c r="L26" s="24">
        <v>4952198.5382967209</v>
      </c>
      <c r="M26" s="25">
        <v>7.7608388947045651E-2</v>
      </c>
      <c r="N26" s="24">
        <v>22765.211943897</v>
      </c>
      <c r="O26" s="24">
        <v>214033.25654649339</v>
      </c>
      <c r="P26" s="25">
        <v>0.1063629657896264</v>
      </c>
      <c r="Q26" s="24">
        <v>10081.787163093361</v>
      </c>
      <c r="R26" s="24">
        <v>99222.419334740116</v>
      </c>
      <c r="S26" s="26">
        <v>0.10160795544685421</v>
      </c>
      <c r="T26" s="24">
        <v>384227.23694480339</v>
      </c>
      <c r="U26" s="24">
        <v>4933656.9749675523</v>
      </c>
      <c r="V26" s="25">
        <v>7.7878790295778599E-2</v>
      </c>
      <c r="W26" s="24">
        <v>25467.770302641999</v>
      </c>
      <c r="X26" s="24">
        <v>244859.20742910201</v>
      </c>
      <c r="Y26" s="25">
        <v>0.1040098535400842</v>
      </c>
      <c r="Z26" s="24">
        <v>10765.232151935699</v>
      </c>
      <c r="AA26" s="24">
        <v>116114.3703982047</v>
      </c>
      <c r="AB26" s="26">
        <v>9.2712315581759741E-2</v>
      </c>
      <c r="AC26" s="24">
        <f t="shared" ca="1" si="0"/>
        <v>384227.23694480339</v>
      </c>
      <c r="AD26" s="24">
        <f t="shared" ca="1" si="1"/>
        <v>4933656.9749675523</v>
      </c>
      <c r="AE26" s="26">
        <f t="shared" ca="1" si="2"/>
        <v>7.7878790295778599E-2</v>
      </c>
      <c r="AF26" s="24" cm="1">
        <f t="array" aca="1" ref="AF26" ca="1">_xlfn.LET(_xlpm.data,$B26:OFFSET(AF26,0,-4),_xlpm.cols,COLUMN(_xlpm.data)-COLUMN($B26),SUMPRODUCT((MOD(_xlpm.cols,9)=3)*IFERROR(1*_xlpm.data,0)))</f>
        <v>60475.254777750997</v>
      </c>
      <c r="AG26" s="24" cm="1">
        <f t="array" aca="1" ref="AG26" ca="1">_xlfn.LET(_xlpm.data,$B26:OFFSET(AF26,0,-4),_xlpm.cols,COLUMN(_xlpm.data)-COLUMN($B26),SUMPRODUCT((MOD(_xlpm.cols,9)=4)*IFERROR(1*_xlpm.data,0)))</f>
        <v>580031.49901095708</v>
      </c>
      <c r="AH26" s="26">
        <f t="shared" ca="1" si="3"/>
        <v>0.10426201832291972</v>
      </c>
      <c r="AI26" s="24" cm="1">
        <f t="array" aca="1" ref="AI26" ca="1">_xlfn.LET(_xlpm.data,$B26:OFFSET(AF26,0,-4),_xlpm.cols,COLUMN(_xlpm.data)-COLUMN($B26),SUMPRODUCT((MOD(_xlpm.cols,9)=6)*IFERROR(1*_xlpm.data,0)))</f>
        <v>27141.587375989948</v>
      </c>
      <c r="AJ26" s="24" cm="1">
        <f t="array" aca="1" ref="AJ26" ca="1">_xlfn.LET(_xlpm.data,$B26:OFFSET(AF26,0,-4),_xlpm.cols,COLUMN(_xlpm.data)-COLUMN($B26),SUMPRODUCT((MOD(_xlpm.cols,9)=7)*IFERROR(1*_xlpm.data,0)))</f>
        <v>280842.46610277705</v>
      </c>
      <c r="AK26" s="26">
        <f t="shared" ca="1" si="4"/>
        <v>9.6643459063121953E-2</v>
      </c>
    </row>
    <row r="27" spans="1:37" ht="14.55" customHeight="1" x14ac:dyDescent="0.3">
      <c r="A27" s="3" t="s">
        <v>33</v>
      </c>
      <c r="B27" s="4">
        <v>49916.256646596426</v>
      </c>
      <c r="C27" s="4">
        <v>629605.95611844189</v>
      </c>
      <c r="D27" s="5">
        <v>7.9281741478961096E-2</v>
      </c>
      <c r="E27" s="4">
        <v>87170.346948107996</v>
      </c>
      <c r="F27" s="4">
        <v>953418.73476558272</v>
      </c>
      <c r="G27" s="5">
        <v>9.1429236461920999E-2</v>
      </c>
      <c r="H27" s="4">
        <v>11172.93361297999</v>
      </c>
      <c r="I27" s="4">
        <v>159136.29278535669</v>
      </c>
      <c r="J27" s="6">
        <v>7.0209839738129762E-2</v>
      </c>
      <c r="K27" s="4">
        <v>47889.163769395003</v>
      </c>
      <c r="L27" s="4">
        <v>622915.03414360597</v>
      </c>
      <c r="M27" s="5">
        <v>7.6879126597472203E-2</v>
      </c>
      <c r="N27" s="4">
        <v>150466.79625930201</v>
      </c>
      <c r="O27" s="4">
        <v>1791350.4995080689</v>
      </c>
      <c r="P27" s="5">
        <v>8.3996290117775582E-2</v>
      </c>
      <c r="Q27" s="4">
        <v>8922.0472211509841</v>
      </c>
      <c r="R27" s="4">
        <v>149014.58009018301</v>
      </c>
      <c r="S27" s="6">
        <v>5.9873652737546891E-2</v>
      </c>
      <c r="T27" s="4">
        <v>52855.294018920038</v>
      </c>
      <c r="U27" s="4">
        <v>674797.66310017998</v>
      </c>
      <c r="V27" s="5">
        <v>7.8327618646588548E-2</v>
      </c>
      <c r="W27" s="4">
        <v>166526.80813919101</v>
      </c>
      <c r="X27" s="4">
        <v>1984220.0668784841</v>
      </c>
      <c r="Y27" s="5">
        <v>8.3925574042382323E-2</v>
      </c>
      <c r="Z27" s="4">
        <v>11086.25520458499</v>
      </c>
      <c r="AA27" s="4">
        <v>169325.8992997577</v>
      </c>
      <c r="AB27" s="6">
        <v>6.5472885426457905E-2</v>
      </c>
      <c r="AC27" s="4">
        <f t="shared" ca="1" si="0"/>
        <v>52855.294018920038</v>
      </c>
      <c r="AD27" s="4">
        <f t="shared" ca="1" si="1"/>
        <v>674797.66310017998</v>
      </c>
      <c r="AE27" s="6">
        <f t="shared" ca="1" si="2"/>
        <v>7.8327618646588548E-2</v>
      </c>
      <c r="AF27" s="4" cm="1">
        <f t="array" aca="1" ref="AF27" ca="1">_xlfn.LET(_xlpm.data,$B27:OFFSET(AF27,0,-4),_xlpm.cols,COLUMN(_xlpm.data)-COLUMN($B27),SUMPRODUCT((MOD(_xlpm.cols,9)=3)*IFERROR(1*_xlpm.data,0)))</f>
        <v>404163.95134660101</v>
      </c>
      <c r="AG27" s="4" cm="1">
        <f t="array" aca="1" ref="AG27" ca="1">_xlfn.LET(_xlpm.data,$B27:OFFSET(AF27,0,-4),_xlpm.cols,COLUMN(_xlpm.data)-COLUMN($B27),SUMPRODUCT((MOD(_xlpm.cols,9)=4)*IFERROR(1*_xlpm.data,0)))</f>
        <v>4728989.3011521362</v>
      </c>
      <c r="AH27" s="6">
        <f t="shared" ca="1" si="3"/>
        <v>8.5465186239295041E-2</v>
      </c>
      <c r="AI27" s="4" cm="1">
        <f t="array" aca="1" ref="AI27" ca="1">_xlfn.LET(_xlpm.data,$B27:OFFSET(AF27,0,-4),_xlpm.cols,COLUMN(_xlpm.data)-COLUMN($B27),SUMPRODUCT((MOD(_xlpm.cols,9)=6)*IFERROR(1*_xlpm.data,0)))</f>
        <v>31181.236038715964</v>
      </c>
      <c r="AJ27" s="4" cm="1">
        <f t="array" aca="1" ref="AJ27" ca="1">_xlfn.LET(_xlpm.data,$B27:OFFSET(AF27,0,-4),_xlpm.cols,COLUMN(_xlpm.data)-COLUMN($B27),SUMPRODUCT((MOD(_xlpm.cols,9)=7)*IFERROR(1*_xlpm.data,0)))</f>
        <v>477476.77217529737</v>
      </c>
      <c r="AK27" s="6">
        <f t="shared" ca="1" si="4"/>
        <v>6.530419458240852E-2</v>
      </c>
    </row>
    <row r="28" spans="1:37" ht="14.55" customHeight="1" x14ac:dyDescent="0.3">
      <c r="A28" s="3" t="s">
        <v>34</v>
      </c>
      <c r="B28" s="4">
        <v>19932.29712776401</v>
      </c>
      <c r="C28" s="4">
        <v>277410.92029710358</v>
      </c>
      <c r="D28" s="5">
        <v>7.1851162551267889E-2</v>
      </c>
      <c r="E28" s="4">
        <v>1309.1039348239999</v>
      </c>
      <c r="F28" s="4">
        <v>10144.355440918</v>
      </c>
      <c r="G28" s="5">
        <v>0.12904752228452421</v>
      </c>
      <c r="H28" s="4">
        <v>108.28414183700011</v>
      </c>
      <c r="I28" s="4">
        <v>3509.3108848530001</v>
      </c>
      <c r="J28" s="6">
        <v>3.0856240837589949E-2</v>
      </c>
      <c r="K28" s="4">
        <v>20632.932794697779</v>
      </c>
      <c r="L28" s="4">
        <v>282702.95847710437</v>
      </c>
      <c r="M28" s="5">
        <v>7.2984495478383191E-2</v>
      </c>
      <c r="N28" s="4">
        <v>2235.4196310309999</v>
      </c>
      <c r="O28" s="4">
        <v>16227.559908503001</v>
      </c>
      <c r="P28" s="5">
        <v>0.13775451414970119</v>
      </c>
      <c r="Q28" s="4">
        <v>-12.980221422</v>
      </c>
      <c r="R28" s="4">
        <v>3134.9722609750002</v>
      </c>
      <c r="S28" s="6" t="s">
        <v>11</v>
      </c>
      <c r="T28" s="4">
        <v>20274.980633033862</v>
      </c>
      <c r="U28" s="4">
        <v>280312.72649500048</v>
      </c>
      <c r="V28" s="5">
        <v>7.2329861317928693E-2</v>
      </c>
      <c r="W28" s="4">
        <v>2419.2332399349998</v>
      </c>
      <c r="X28" s="4">
        <v>18231.976554987999</v>
      </c>
      <c r="Y28" s="5">
        <v>0.1326917700139941</v>
      </c>
      <c r="Z28" s="4">
        <v>106.533272301</v>
      </c>
      <c r="AA28" s="4">
        <v>3691.0905412930001</v>
      </c>
      <c r="AB28" s="6">
        <v>2.8862275554931548E-2</v>
      </c>
      <c r="AC28" s="4">
        <f t="shared" ca="1" si="0"/>
        <v>20274.980633033862</v>
      </c>
      <c r="AD28" s="4">
        <f t="shared" ca="1" si="1"/>
        <v>280312.72649500048</v>
      </c>
      <c r="AE28" s="6">
        <f t="shared" ca="1" si="2"/>
        <v>7.2329861317928693E-2</v>
      </c>
      <c r="AF28" s="4" cm="1">
        <f t="array" aca="1" ref="AF28" ca="1">_xlfn.LET(_xlpm.data,$B28:OFFSET(AF28,0,-4),_xlpm.cols,COLUMN(_xlpm.data)-COLUMN($B28),SUMPRODUCT((MOD(_xlpm.cols,9)=3)*IFERROR(1*_xlpm.data,0)))</f>
        <v>5963.7568057899998</v>
      </c>
      <c r="AG28" s="4" cm="1">
        <f t="array" aca="1" ref="AG28" ca="1">_xlfn.LET(_xlpm.data,$B28:OFFSET(AF28,0,-4),_xlpm.cols,COLUMN(_xlpm.data)-COLUMN($B28),SUMPRODUCT((MOD(_xlpm.cols,9)=4)*IFERROR(1*_xlpm.data,0)))</f>
        <v>44603.891904409</v>
      </c>
      <c r="AH28" s="6">
        <f t="shared" ca="1" si="3"/>
        <v>0.13370485289873316</v>
      </c>
      <c r="AI28" s="4" cm="1">
        <f t="array" aca="1" ref="AI28" ca="1">_xlfn.LET(_xlpm.data,$B28:OFFSET(AF28,0,-4),_xlpm.cols,COLUMN(_xlpm.data)-COLUMN($B28),SUMPRODUCT((MOD(_xlpm.cols,9)=6)*IFERROR(1*_xlpm.data,0)))</f>
        <v>201.83719271600012</v>
      </c>
      <c r="AJ28" s="4" cm="1">
        <f t="array" aca="1" ref="AJ28" ca="1">_xlfn.LET(_xlpm.data,$B28:OFFSET(AF28,0,-4),_xlpm.cols,COLUMN(_xlpm.data)-COLUMN($B28),SUMPRODUCT((MOD(_xlpm.cols,9)=7)*IFERROR(1*_xlpm.data,0)))</f>
        <v>10335.373687121</v>
      </c>
      <c r="AK28" s="6">
        <f t="shared" ca="1" si="4"/>
        <v>1.9528775526279345E-2</v>
      </c>
    </row>
    <row r="29" spans="1:37" ht="14.55" customHeight="1" x14ac:dyDescent="0.3">
      <c r="A29" s="3" t="s">
        <v>35</v>
      </c>
      <c r="B29" s="4">
        <v>777.39299223741011</v>
      </c>
      <c r="C29" s="4">
        <v>10729.4952878599</v>
      </c>
      <c r="D29" s="5">
        <v>7.2453826706742372E-2</v>
      </c>
      <c r="E29" s="4">
        <v>0</v>
      </c>
      <c r="F29" s="4">
        <v>8.7371599999999997E-4</v>
      </c>
      <c r="G29" s="5">
        <v>0</v>
      </c>
      <c r="H29" s="4">
        <v>-366.15329918900011</v>
      </c>
      <c r="I29" s="4">
        <v>-3889.4586973189998</v>
      </c>
      <c r="J29" s="6" t="s">
        <v>11</v>
      </c>
      <c r="K29" s="4">
        <v>119.709929128846</v>
      </c>
      <c r="L29" s="4">
        <v>9492.1889495183896</v>
      </c>
      <c r="M29" s="5">
        <v>1.2611414476206751E-2</v>
      </c>
      <c r="N29" s="4">
        <v>0</v>
      </c>
      <c r="O29" s="4">
        <v>1.3235642000000001E-2</v>
      </c>
      <c r="P29" s="5">
        <v>0</v>
      </c>
      <c r="Q29" s="4">
        <v>-883.35808622800005</v>
      </c>
      <c r="R29" s="4">
        <v>-5010.0618947610001</v>
      </c>
      <c r="S29" s="6" t="s">
        <v>11</v>
      </c>
      <c r="T29" s="4">
        <v>120.668663485509</v>
      </c>
      <c r="U29" s="4">
        <v>8874.6522496819198</v>
      </c>
      <c r="V29" s="5">
        <v>1.359700189828102E-2</v>
      </c>
      <c r="W29" s="4">
        <v>0</v>
      </c>
      <c r="X29" s="4">
        <v>1.3235642000000001E-2</v>
      </c>
      <c r="Y29" s="5">
        <v>0</v>
      </c>
      <c r="Z29" s="4">
        <v>-883.35808622800005</v>
      </c>
      <c r="AA29" s="4">
        <v>-5633.0400044059998</v>
      </c>
      <c r="AB29" s="6" t="s">
        <v>11</v>
      </c>
      <c r="AC29" s="4">
        <f t="shared" ca="1" si="0"/>
        <v>120.668663485509</v>
      </c>
      <c r="AD29" s="4">
        <f t="shared" ca="1" si="1"/>
        <v>8874.6522496819198</v>
      </c>
      <c r="AE29" s="6">
        <f t="shared" ca="1" si="2"/>
        <v>1.3597001898281022E-2</v>
      </c>
      <c r="AF29" s="4" cm="1">
        <f t="array" aca="1" ref="AF29" ca="1">_xlfn.LET(_xlpm.data,$B29:OFFSET(AF29,0,-4),_xlpm.cols,COLUMN(_xlpm.data)-COLUMN($B29),SUMPRODUCT((MOD(_xlpm.cols,9)=3)*IFERROR(1*_xlpm.data,0)))</f>
        <v>0</v>
      </c>
      <c r="AG29" s="4" cm="1">
        <f t="array" aca="1" ref="AG29" ca="1">_xlfn.LET(_xlpm.data,$B29:OFFSET(AF29,0,-4),_xlpm.cols,COLUMN(_xlpm.data)-COLUMN($B29),SUMPRODUCT((MOD(_xlpm.cols,9)=4)*IFERROR(1*_xlpm.data,0)))</f>
        <v>2.7345000000000001E-2</v>
      </c>
      <c r="AH29" s="6">
        <f t="shared" ca="1" si="3"/>
        <v>0</v>
      </c>
      <c r="AI29" s="4" cm="1">
        <f t="array" aca="1" ref="AI29" ca="1">_xlfn.LET(_xlpm.data,$B29:OFFSET(AF29,0,-4),_xlpm.cols,COLUMN(_xlpm.data)-COLUMN($B29),SUMPRODUCT((MOD(_xlpm.cols,9)=6)*IFERROR(1*_xlpm.data,0)))</f>
        <v>-2132.869471645</v>
      </c>
      <c r="AJ29" s="4" cm="1">
        <f t="array" aca="1" ref="AJ29" ca="1">_xlfn.LET(_xlpm.data,$B29:OFFSET(AF29,0,-4),_xlpm.cols,COLUMN(_xlpm.data)-COLUMN($B29),SUMPRODUCT((MOD(_xlpm.cols,9)=7)*IFERROR(1*_xlpm.data,0)))</f>
        <v>-14532.560596486001</v>
      </c>
      <c r="AK29" s="6" t="str">
        <f t="shared" ca="1" si="4"/>
        <v>N.A</v>
      </c>
    </row>
    <row r="30" spans="1:37" ht="14.55" customHeight="1" x14ac:dyDescent="0.3">
      <c r="A30" s="3" t="s">
        <v>36</v>
      </c>
      <c r="B30" s="4">
        <v>0</v>
      </c>
      <c r="C30" s="4">
        <v>0.10843340730000001</v>
      </c>
      <c r="D30" s="5">
        <v>0</v>
      </c>
      <c r="E30" s="4">
        <v>0</v>
      </c>
      <c r="F30" s="4">
        <v>0</v>
      </c>
      <c r="G30" s="5">
        <v>0</v>
      </c>
      <c r="H30" s="4">
        <v>0</v>
      </c>
      <c r="I30" s="4">
        <v>0</v>
      </c>
      <c r="J30" s="6" t="s">
        <v>11</v>
      </c>
      <c r="K30" s="4">
        <v>0</v>
      </c>
      <c r="L30" s="4">
        <v>0.10843340730000001</v>
      </c>
      <c r="M30" s="5">
        <v>0</v>
      </c>
      <c r="N30" s="4">
        <v>0</v>
      </c>
      <c r="O30" s="4">
        <v>0</v>
      </c>
      <c r="P30" s="5">
        <v>0</v>
      </c>
      <c r="Q30" s="4">
        <v>0</v>
      </c>
      <c r="R30" s="4">
        <v>0</v>
      </c>
      <c r="S30" s="6" t="s">
        <v>11</v>
      </c>
      <c r="T30" s="4">
        <v>0</v>
      </c>
      <c r="U30" s="4">
        <v>0.10843340730000001</v>
      </c>
      <c r="V30" s="5">
        <v>0</v>
      </c>
      <c r="W30" s="4">
        <v>0</v>
      </c>
      <c r="X30" s="4">
        <v>0</v>
      </c>
      <c r="Y30" s="5">
        <v>0</v>
      </c>
      <c r="Z30" s="4">
        <v>0</v>
      </c>
      <c r="AA30" s="4">
        <v>0</v>
      </c>
      <c r="AB30" s="6" t="s">
        <v>11</v>
      </c>
      <c r="AC30" s="4">
        <f t="shared" ca="1" si="0"/>
        <v>0</v>
      </c>
      <c r="AD30" s="4">
        <f t="shared" ca="1" si="1"/>
        <v>0.10843340730000001</v>
      </c>
      <c r="AE30" s="6">
        <f t="shared" ca="1" si="2"/>
        <v>0</v>
      </c>
      <c r="AF30" s="4" cm="1">
        <f t="array" aca="1" ref="AF30" ca="1">_xlfn.LET(_xlpm.data,$B30:OFFSET(AF30,0,-4),_xlpm.cols,COLUMN(_xlpm.data)-COLUMN($B30),SUMPRODUCT((MOD(_xlpm.cols,9)=3)*IFERROR(1*_xlpm.data,0)))</f>
        <v>0</v>
      </c>
      <c r="AG30" s="4" cm="1">
        <f t="array" aca="1" ref="AG30" ca="1">_xlfn.LET(_xlpm.data,$B30:OFFSET(AF30,0,-4),_xlpm.cols,COLUMN(_xlpm.data)-COLUMN($B30),SUMPRODUCT((MOD(_xlpm.cols,9)=4)*IFERROR(1*_xlpm.data,0)))</f>
        <v>0</v>
      </c>
      <c r="AH30" s="6">
        <f t="shared" ca="1" si="3"/>
        <v>0</v>
      </c>
      <c r="AI30" s="4" cm="1">
        <f t="array" aca="1" ref="AI30" ca="1">_xlfn.LET(_xlpm.data,$B30:OFFSET(AF30,0,-4),_xlpm.cols,COLUMN(_xlpm.data)-COLUMN($B30),SUMPRODUCT((MOD(_xlpm.cols,9)=6)*IFERROR(1*_xlpm.data,0)))</f>
        <v>0</v>
      </c>
      <c r="AJ30" s="4" cm="1">
        <f t="array" aca="1" ref="AJ30" ca="1">_xlfn.LET(_xlpm.data,$B30:OFFSET(AF30,0,-4),_xlpm.cols,COLUMN(_xlpm.data)-COLUMN($B30),SUMPRODUCT((MOD(_xlpm.cols,9)=7)*IFERROR(1*_xlpm.data,0)))</f>
        <v>0</v>
      </c>
      <c r="AK30" s="6" t="str">
        <f t="shared" ca="1" si="4"/>
        <v>N.A</v>
      </c>
    </row>
    <row r="31" spans="1:37" ht="14.55" customHeight="1" x14ac:dyDescent="0.3">
      <c r="A31" s="3" t="s">
        <v>37</v>
      </c>
      <c r="B31" s="4">
        <v>2601.2111827824151</v>
      </c>
      <c r="C31" s="4">
        <v>45499.380676549503</v>
      </c>
      <c r="D31" s="5">
        <v>5.7170254717842477E-2</v>
      </c>
      <c r="E31" s="4">
        <v>147.06850365299999</v>
      </c>
      <c r="F31" s="4">
        <v>1889.2865381546951</v>
      </c>
      <c r="G31" s="5">
        <v>7.7843408441709866E-2</v>
      </c>
      <c r="H31" s="4">
        <v>84.426482659000001</v>
      </c>
      <c r="I31" s="4">
        <v>946.6767977226948</v>
      </c>
      <c r="J31" s="6">
        <v>8.9181949808101901E-2</v>
      </c>
      <c r="K31" s="4">
        <v>2574.226942643485</v>
      </c>
      <c r="L31" s="4">
        <v>45434.976301102397</v>
      </c>
      <c r="M31" s="5">
        <v>5.6657384953473083E-2</v>
      </c>
      <c r="N31" s="4">
        <v>166.79826548400001</v>
      </c>
      <c r="O31" s="4">
        <v>2298.3603639984631</v>
      </c>
      <c r="P31" s="5">
        <v>7.2572721013088065E-2</v>
      </c>
      <c r="Q31" s="4">
        <v>53.709687098000003</v>
      </c>
      <c r="R31" s="4">
        <v>747.66859154646306</v>
      </c>
      <c r="S31" s="6">
        <v>7.1836222231708227E-2</v>
      </c>
      <c r="T31" s="4">
        <v>2584.646955956232</v>
      </c>
      <c r="U31" s="4">
        <v>45581.8595225561</v>
      </c>
      <c r="V31" s="5">
        <v>5.670341190616026E-2</v>
      </c>
      <c r="W31" s="4">
        <v>173.25421185100001</v>
      </c>
      <c r="X31" s="4">
        <v>2378.183526577463</v>
      </c>
      <c r="Y31" s="5">
        <v>7.2851489346718715E-2</v>
      </c>
      <c r="Z31" s="4">
        <v>51.776059759000013</v>
      </c>
      <c r="AA31" s="4">
        <v>714.70218493046298</v>
      </c>
      <c r="AB31" s="6">
        <v>7.2444244400956426E-2</v>
      </c>
      <c r="AC31" s="4">
        <f t="shared" ca="1" si="0"/>
        <v>2584.646955956232</v>
      </c>
      <c r="AD31" s="4">
        <f t="shared" ca="1" si="1"/>
        <v>45581.8595225561</v>
      </c>
      <c r="AE31" s="6">
        <f t="shared" ca="1" si="2"/>
        <v>5.670341190616026E-2</v>
      </c>
      <c r="AF31" s="4" cm="1">
        <f t="array" aca="1" ref="AF31" ca="1">_xlfn.LET(_xlpm.data,$B31:OFFSET(AF31,0,-4),_xlpm.cols,COLUMN(_xlpm.data)-COLUMN($B31),SUMPRODUCT((MOD(_xlpm.cols,9)=3)*IFERROR(1*_xlpm.data,0)))</f>
        <v>487.12098098800004</v>
      </c>
      <c r="AG31" s="4" cm="1">
        <f t="array" aca="1" ref="AG31" ca="1">_xlfn.LET(_xlpm.data,$B31:OFFSET(AF31,0,-4),_xlpm.cols,COLUMN(_xlpm.data)-COLUMN($B31),SUMPRODUCT((MOD(_xlpm.cols,9)=4)*IFERROR(1*_xlpm.data,0)))</f>
        <v>6565.8304287306219</v>
      </c>
      <c r="AH31" s="6">
        <f t="shared" ca="1" si="3"/>
        <v>7.4190307878873374E-2</v>
      </c>
      <c r="AI31" s="4" cm="1">
        <f t="array" aca="1" ref="AI31" ca="1">_xlfn.LET(_xlpm.data,$B31:OFFSET(AF31,0,-4),_xlpm.cols,COLUMN(_xlpm.data)-COLUMN($B31),SUMPRODUCT((MOD(_xlpm.cols,9)=6)*IFERROR(1*_xlpm.data,0)))</f>
        <v>189.91222951600002</v>
      </c>
      <c r="AJ31" s="4" cm="1">
        <f t="array" aca="1" ref="AJ31" ca="1">_xlfn.LET(_xlpm.data,$B31:OFFSET(AF31,0,-4),_xlpm.cols,COLUMN(_xlpm.data)-COLUMN($B31),SUMPRODUCT((MOD(_xlpm.cols,9)=7)*IFERROR(1*_xlpm.data,0)))</f>
        <v>2409.0475741996206</v>
      </c>
      <c r="AK31" s="6">
        <f t="shared" ca="1" si="4"/>
        <v>7.8832909548951627E-2</v>
      </c>
    </row>
    <row r="32" spans="1:37" ht="14.55" customHeight="1" x14ac:dyDescent="0.3">
      <c r="A32" s="3" t="s">
        <v>38</v>
      </c>
      <c r="B32" s="4">
        <v>2901.0651551829501</v>
      </c>
      <c r="C32" s="4">
        <v>25855.617868928799</v>
      </c>
      <c r="D32" s="5">
        <v>0.1122025073966311</v>
      </c>
      <c r="E32" s="4">
        <v>21.811006909</v>
      </c>
      <c r="F32" s="4">
        <v>300.39070847690027</v>
      </c>
      <c r="G32" s="5">
        <v>7.2608793459659357E-2</v>
      </c>
      <c r="H32" s="4">
        <v>-26.839646877999989</v>
      </c>
      <c r="I32" s="4">
        <v>-88.317778671099575</v>
      </c>
      <c r="J32" s="6" t="s">
        <v>11</v>
      </c>
      <c r="K32" s="4">
        <v>2861.9374027812501</v>
      </c>
      <c r="L32" s="4">
        <v>25826.932730850102</v>
      </c>
      <c r="M32" s="5">
        <v>0.1108121290517277</v>
      </c>
      <c r="N32" s="4">
        <v>38.657487164000003</v>
      </c>
      <c r="O32" s="4">
        <v>553.45928666112115</v>
      </c>
      <c r="P32" s="5">
        <v>6.9847029575040243E-2</v>
      </c>
      <c r="Q32" s="4">
        <v>-55.838076120999993</v>
      </c>
      <c r="R32" s="4">
        <v>-171.9457583938788</v>
      </c>
      <c r="S32" s="6" t="s">
        <v>11</v>
      </c>
      <c r="T32" s="4">
        <v>2863.4512827109202</v>
      </c>
      <c r="U32" s="4">
        <v>26002.097261527499</v>
      </c>
      <c r="V32" s="5">
        <v>0.1101238586222681</v>
      </c>
      <c r="W32" s="4">
        <v>43.270283274999997</v>
      </c>
      <c r="X32" s="4">
        <v>781.62487683112113</v>
      </c>
      <c r="Y32" s="5">
        <v>5.5359398808322517E-2</v>
      </c>
      <c r="Z32" s="4">
        <v>-60.726452554999987</v>
      </c>
      <c r="AA32" s="4">
        <v>-23.135863889878809</v>
      </c>
      <c r="AB32" s="6" t="s">
        <v>11</v>
      </c>
      <c r="AC32" s="4">
        <f t="shared" ca="1" si="0"/>
        <v>2863.4512827109202</v>
      </c>
      <c r="AD32" s="4">
        <f t="shared" ca="1" si="1"/>
        <v>26002.097261527499</v>
      </c>
      <c r="AE32" s="6">
        <f t="shared" ca="1" si="2"/>
        <v>0.11012385862226816</v>
      </c>
      <c r="AF32" s="4" cm="1">
        <f t="array" aca="1" ref="AF32" ca="1">_xlfn.LET(_xlpm.data,$B32:OFFSET(AF32,0,-4),_xlpm.cols,COLUMN(_xlpm.data)-COLUMN($B32),SUMPRODUCT((MOD(_xlpm.cols,9)=3)*IFERROR(1*_xlpm.data,0)))</f>
        <v>103.738777348</v>
      </c>
      <c r="AG32" s="4" cm="1">
        <f t="array" aca="1" ref="AG32" ca="1">_xlfn.LET(_xlpm.data,$B32:OFFSET(AF32,0,-4),_xlpm.cols,COLUMN(_xlpm.data)-COLUMN($B32),SUMPRODUCT((MOD(_xlpm.cols,9)=4)*IFERROR(1*_xlpm.data,0)))</f>
        <v>1635.4748719691424</v>
      </c>
      <c r="AH32" s="6">
        <f t="shared" ca="1" si="3"/>
        <v>6.3430370668487598E-2</v>
      </c>
      <c r="AI32" s="4" cm="1">
        <f t="array" aca="1" ref="AI32" ca="1">_xlfn.LET(_xlpm.data,$B32:OFFSET(AF32,0,-4),_xlpm.cols,COLUMN(_xlpm.data)-COLUMN($B32),SUMPRODUCT((MOD(_xlpm.cols,9)=6)*IFERROR(1*_xlpm.data,0)))</f>
        <v>-143.40417555399998</v>
      </c>
      <c r="AJ32" s="4" cm="1">
        <f t="array" aca="1" ref="AJ32" ca="1">_xlfn.LET(_xlpm.data,$B32:OFFSET(AF32,0,-4),_xlpm.cols,COLUMN(_xlpm.data)-COLUMN($B32),SUMPRODUCT((MOD(_xlpm.cols,9)=7)*IFERROR(1*_xlpm.data,0)))</f>
        <v>-283.39940095485719</v>
      </c>
      <c r="AK32" s="6" t="str">
        <f t="shared" ca="1" si="4"/>
        <v>N.A</v>
      </c>
    </row>
    <row r="33" spans="1:37" ht="14.55" customHeight="1" x14ac:dyDescent="0.3">
      <c r="A33" s="3" t="s">
        <v>39</v>
      </c>
      <c r="B33" s="4">
        <v>6757.8919273259207</v>
      </c>
      <c r="C33" s="4">
        <v>90418.592248312401</v>
      </c>
      <c r="D33" s="5">
        <v>7.4740070148040294E-2</v>
      </c>
      <c r="E33" s="4">
        <v>14.607925337999999</v>
      </c>
      <c r="F33" s="4">
        <v>1586.055732912281</v>
      </c>
      <c r="G33" s="5">
        <v>9.2102219580753597E-3</v>
      </c>
      <c r="H33" s="4">
        <v>-341.59232662199997</v>
      </c>
      <c r="I33" s="4">
        <v>-2630.1356048727189</v>
      </c>
      <c r="J33" s="6" t="s">
        <v>11</v>
      </c>
      <c r="K33" s="4">
        <v>6523.8667816828638</v>
      </c>
      <c r="L33" s="4">
        <v>87103.990624093378</v>
      </c>
      <c r="M33" s="5">
        <v>7.4897449989832401E-2</v>
      </c>
      <c r="N33" s="4">
        <v>24.688133075</v>
      </c>
      <c r="O33" s="4">
        <v>2102.2856160173951</v>
      </c>
      <c r="P33" s="5">
        <v>1.174347238400918E-2</v>
      </c>
      <c r="Q33" s="4">
        <v>-589.50067276000004</v>
      </c>
      <c r="R33" s="4">
        <v>-6210.2184261321518</v>
      </c>
      <c r="S33" s="6" t="s">
        <v>11</v>
      </c>
      <c r="T33" s="4">
        <v>6471.0179238953551</v>
      </c>
      <c r="U33" s="4">
        <v>86211.230990436437</v>
      </c>
      <c r="V33" s="5">
        <v>7.5060033937030743E-2</v>
      </c>
      <c r="W33" s="4">
        <v>26.692311843999999</v>
      </c>
      <c r="X33" s="4">
        <v>2363.0510190813952</v>
      </c>
      <c r="Y33" s="5">
        <v>1.1295698496757919E-2</v>
      </c>
      <c r="Z33" s="4">
        <v>-668.2371844490001</v>
      </c>
      <c r="AA33" s="4">
        <v>-7380.245703550152</v>
      </c>
      <c r="AB33" s="6" t="s">
        <v>11</v>
      </c>
      <c r="AC33" s="4">
        <f t="shared" ca="1" si="0"/>
        <v>6471.0179238953551</v>
      </c>
      <c r="AD33" s="4">
        <f t="shared" ca="1" si="1"/>
        <v>86211.230990436437</v>
      </c>
      <c r="AE33" s="6">
        <f t="shared" ca="1" si="2"/>
        <v>7.5060033937030743E-2</v>
      </c>
      <c r="AF33" s="4" cm="1">
        <f t="array" aca="1" ref="AF33" ca="1">_xlfn.LET(_xlpm.data,$B33:OFFSET(AF33,0,-4),_xlpm.cols,COLUMN(_xlpm.data)-COLUMN($B33),SUMPRODUCT((MOD(_xlpm.cols,9)=3)*IFERROR(1*_xlpm.data,0)))</f>
        <v>65.988370257</v>
      </c>
      <c r="AG33" s="4" cm="1">
        <f t="array" aca="1" ref="AG33" ca="1">_xlfn.LET(_xlpm.data,$B33:OFFSET(AF33,0,-4),_xlpm.cols,COLUMN(_xlpm.data)-COLUMN($B33),SUMPRODUCT((MOD(_xlpm.cols,9)=4)*IFERROR(1*_xlpm.data,0)))</f>
        <v>6051.3923680110711</v>
      </c>
      <c r="AH33" s="6">
        <f t="shared" ca="1" si="3"/>
        <v>1.0904659001427236E-2</v>
      </c>
      <c r="AI33" s="4" cm="1">
        <f t="array" aca="1" ref="AI33" ca="1">_xlfn.LET(_xlpm.data,$B33:OFFSET(AF33,0,-4),_xlpm.cols,COLUMN(_xlpm.data)-COLUMN($B33),SUMPRODUCT((MOD(_xlpm.cols,9)=6)*IFERROR(1*_xlpm.data,0)))</f>
        <v>-1599.3301838310001</v>
      </c>
      <c r="AJ33" s="4" cm="1">
        <f t="array" aca="1" ref="AJ33" ca="1">_xlfn.LET(_xlpm.data,$B33:OFFSET(AF33,0,-4),_xlpm.cols,COLUMN(_xlpm.data)-COLUMN($B33),SUMPRODUCT((MOD(_xlpm.cols,9)=7)*IFERROR(1*_xlpm.data,0)))</f>
        <v>-16220.599734555022</v>
      </c>
      <c r="AK33" s="6" t="str">
        <f t="shared" ca="1" si="4"/>
        <v>N.A</v>
      </c>
    </row>
    <row r="34" spans="1:37" ht="14.55" customHeight="1" x14ac:dyDescent="0.3">
      <c r="A34" s="19" t="s">
        <v>28</v>
      </c>
      <c r="B34" s="20">
        <v>13175.700081344599</v>
      </c>
      <c r="C34" s="20">
        <v>97191.047778376</v>
      </c>
      <c r="D34" s="21">
        <v>0.1355649556468313</v>
      </c>
      <c r="E34" s="20">
        <v>328.37972238299989</v>
      </c>
      <c r="F34" s="20">
        <v>3887.5418588980001</v>
      </c>
      <c r="G34" s="21">
        <v>8.4469758603727449E-2</v>
      </c>
      <c r="H34" s="20">
        <v>-362.13957483199999</v>
      </c>
      <c r="I34" s="20">
        <v>-7907.5694054019996</v>
      </c>
      <c r="J34" s="22" t="s">
        <v>11</v>
      </c>
      <c r="K34" s="20">
        <v>12857.377350106901</v>
      </c>
      <c r="L34" s="20">
        <v>95629.972629693293</v>
      </c>
      <c r="M34" s="21">
        <v>0.13444924218366511</v>
      </c>
      <c r="N34" s="20">
        <v>441.18038705299989</v>
      </c>
      <c r="O34" s="20">
        <v>6697.8240923960002</v>
      </c>
      <c r="P34" s="21">
        <v>6.5869210801440634E-2</v>
      </c>
      <c r="Q34" s="20">
        <v>-846.61623425499988</v>
      </c>
      <c r="R34" s="20">
        <v>-9421.3885967850001</v>
      </c>
      <c r="S34" s="22" t="s">
        <v>11</v>
      </c>
      <c r="T34" s="20">
        <v>12852.2156410304</v>
      </c>
      <c r="U34" s="20">
        <v>95595.764118103791</v>
      </c>
      <c r="V34" s="21">
        <v>0.13444335907135099</v>
      </c>
      <c r="W34" s="20">
        <v>442.66893874599992</v>
      </c>
      <c r="X34" s="20">
        <v>7077.4918655199999</v>
      </c>
      <c r="Y34" s="21">
        <v>6.2546018724880012E-2</v>
      </c>
      <c r="Z34" s="20">
        <v>-880.59700686999986</v>
      </c>
      <c r="AA34" s="20">
        <v>-9701.6601370890003</v>
      </c>
      <c r="AB34" s="22" t="s">
        <v>11</v>
      </c>
      <c r="AC34" s="20">
        <f t="shared" ca="1" si="0"/>
        <v>12852.2156410304</v>
      </c>
      <c r="AD34" s="20">
        <f t="shared" ca="1" si="1"/>
        <v>95595.764118103791</v>
      </c>
      <c r="AE34" s="22">
        <f t="shared" ca="1" si="2"/>
        <v>0.13444335907135099</v>
      </c>
      <c r="AF34" s="20" cm="1">
        <f t="array" aca="1" ref="AF34" ca="1">_xlfn.LET(_xlpm.data,$B34:OFFSET(AF34,0,-4),_xlpm.cols,COLUMN(_xlpm.data)-COLUMN($B34),SUMPRODUCT((MOD(_xlpm.cols,9)=3)*IFERROR(1*_xlpm.data,0)))</f>
        <v>1212.2290481819996</v>
      </c>
      <c r="AG34" s="20" cm="1">
        <f t="array" aca="1" ref="AG34" ca="1">_xlfn.LET(_xlpm.data,$B34:OFFSET(AF34,0,-4),_xlpm.cols,COLUMN(_xlpm.data)-COLUMN($B34),SUMPRODUCT((MOD(_xlpm.cols,9)=4)*IFERROR(1*_xlpm.data,0)))</f>
        <v>17662.857816814001</v>
      </c>
      <c r="AH34" s="22">
        <f t="shared" ca="1" si="3"/>
        <v>6.863153521102508E-2</v>
      </c>
      <c r="AI34" s="20" cm="1">
        <f t="array" aca="1" ref="AI34" ca="1">_xlfn.LET(_xlpm.data,$B34:OFFSET(AF34,0,-4),_xlpm.cols,COLUMN(_xlpm.data)-COLUMN($B34),SUMPRODUCT((MOD(_xlpm.cols,9)=6)*IFERROR(1*_xlpm.data,0)))</f>
        <v>-2089.3528159569996</v>
      </c>
      <c r="AJ34" s="20" cm="1">
        <f t="array" aca="1" ref="AJ34" ca="1">_xlfn.LET(_xlpm.data,$B34:OFFSET(AF34,0,-4),_xlpm.cols,COLUMN(_xlpm.data)-COLUMN($B34),SUMPRODUCT((MOD(_xlpm.cols,9)=7)*IFERROR(1*_xlpm.data,0)))</f>
        <v>-27030.618139275997</v>
      </c>
      <c r="AK34" s="22" t="str">
        <f t="shared" ca="1" si="4"/>
        <v>N.A</v>
      </c>
    </row>
    <row r="35" spans="1:37" ht="14.55" customHeight="1" x14ac:dyDescent="0.3">
      <c r="A35" s="3" t="s">
        <v>40</v>
      </c>
      <c r="B35" s="4">
        <v>18038.632772704099</v>
      </c>
      <c r="C35" s="4">
        <v>196867.11103146101</v>
      </c>
      <c r="D35" s="5">
        <v>9.1628473025244822E-2</v>
      </c>
      <c r="E35" s="4">
        <v>503.50016079199997</v>
      </c>
      <c r="F35" s="4">
        <v>5902.7335642288499</v>
      </c>
      <c r="G35" s="5">
        <v>8.5299489687839014E-2</v>
      </c>
      <c r="H35" s="4">
        <v>284.41039814615988</v>
      </c>
      <c r="I35" s="4">
        <v>2836.7353966619321</v>
      </c>
      <c r="J35" s="6">
        <v>0.1002597558026856</v>
      </c>
      <c r="K35" s="4">
        <v>18413.9605267966</v>
      </c>
      <c r="L35" s="4">
        <v>202780.289938623</v>
      </c>
      <c r="M35" s="5">
        <v>9.0807447471201896E-2</v>
      </c>
      <c r="N35" s="4">
        <v>923.53400104599996</v>
      </c>
      <c r="O35" s="4">
        <v>10797.89116810083</v>
      </c>
      <c r="P35" s="5">
        <v>8.5529108107174429E-2</v>
      </c>
      <c r="Q35" s="4">
        <v>272.77772640682451</v>
      </c>
      <c r="R35" s="4">
        <v>3500.9412949554121</v>
      </c>
      <c r="S35" s="6">
        <v>7.7915538543841423E-2</v>
      </c>
      <c r="T35" s="4">
        <v>18421.702591046502</v>
      </c>
      <c r="U35" s="4">
        <v>202192.64587022399</v>
      </c>
      <c r="V35" s="5">
        <v>9.1109656890638574E-2</v>
      </c>
      <c r="W35" s="4">
        <v>1039.171226168</v>
      </c>
      <c r="X35" s="4">
        <v>12084.097462675831</v>
      </c>
      <c r="Y35" s="5">
        <v>8.5994939165104353E-2</v>
      </c>
      <c r="Z35" s="4">
        <v>349.32396542795971</v>
      </c>
      <c r="AA35" s="4">
        <v>4120.6725096547134</v>
      </c>
      <c r="AB35" s="6">
        <v>8.4773532623496656E-2</v>
      </c>
      <c r="AC35" s="4">
        <f t="shared" ca="1" si="0"/>
        <v>18421.702591046502</v>
      </c>
      <c r="AD35" s="4">
        <f t="shared" ca="1" si="1"/>
        <v>202192.64587022399</v>
      </c>
      <c r="AE35" s="6">
        <f t="shared" ca="1" si="2"/>
        <v>9.1109656890638588E-2</v>
      </c>
      <c r="AF35" s="4" cm="1">
        <f t="array" aca="1" ref="AF35" ca="1">_xlfn.LET(_xlpm.data,$B35:OFFSET(AF35,0,-4),_xlpm.cols,COLUMN(_xlpm.data)-COLUMN($B35),SUMPRODUCT((MOD(_xlpm.cols,9)=3)*IFERROR(1*_xlpm.data,0)))</f>
        <v>2466.2053880059998</v>
      </c>
      <c r="AG35" s="4" cm="1">
        <f t="array" aca="1" ref="AG35" ca="1">_xlfn.LET(_xlpm.data,$B35:OFFSET(AF35,0,-4),_xlpm.cols,COLUMN(_xlpm.data)-COLUMN($B35),SUMPRODUCT((MOD(_xlpm.cols,9)=4)*IFERROR(1*_xlpm.data,0)))</f>
        <v>28784.72219500551</v>
      </c>
      <c r="AH35" s="6">
        <f t="shared" ca="1" si="3"/>
        <v>8.5677581714994483E-2</v>
      </c>
      <c r="AI35" s="4" cm="1">
        <f t="array" aca="1" ref="AI35" ca="1">_xlfn.LET(_xlpm.data,$B35:OFFSET(AF35,0,-4),_xlpm.cols,COLUMN(_xlpm.data)-COLUMN($B35),SUMPRODUCT((MOD(_xlpm.cols,9)=6)*IFERROR(1*_xlpm.data,0)))</f>
        <v>906.5120899809441</v>
      </c>
      <c r="AJ35" s="4" cm="1">
        <f t="array" aca="1" ref="AJ35" ca="1">_xlfn.LET(_xlpm.data,$B35:OFFSET(AF35,0,-4),_xlpm.cols,COLUMN(_xlpm.data)-COLUMN($B35),SUMPRODUCT((MOD(_xlpm.cols,9)=7)*IFERROR(1*_xlpm.data,0)))</f>
        <v>10458.349201272056</v>
      </c>
      <c r="AK35" s="6">
        <f t="shared" ca="1" si="4"/>
        <v>8.6678315337824483E-2</v>
      </c>
    </row>
    <row r="36" spans="1:37" ht="14.55" customHeight="1" x14ac:dyDescent="0.3">
      <c r="A36" s="3" t="s">
        <v>41</v>
      </c>
      <c r="B36" s="4">
        <v>7916.3891098730501</v>
      </c>
      <c r="C36" s="4">
        <v>43944.028467120399</v>
      </c>
      <c r="D36" s="5">
        <v>0.1801470958857633</v>
      </c>
      <c r="E36" s="4">
        <v>861.34638849700002</v>
      </c>
      <c r="F36" s="4">
        <v>1894.161074438</v>
      </c>
      <c r="G36" s="5">
        <v>0.45473766730876491</v>
      </c>
      <c r="H36" s="4">
        <v>808.90417770156466</v>
      </c>
      <c r="I36" s="4">
        <v>1567.363130299565</v>
      </c>
      <c r="J36" s="6">
        <v>0.51609238603626029</v>
      </c>
      <c r="K36" s="4">
        <v>8831.2555502969499</v>
      </c>
      <c r="L36" s="4">
        <v>47939.492813065903</v>
      </c>
      <c r="M36" s="5">
        <v>0.18421670802261789</v>
      </c>
      <c r="N36" s="4">
        <v>992.430919442</v>
      </c>
      <c r="O36" s="4">
        <v>2917.8260415209988</v>
      </c>
      <c r="P36" s="5">
        <v>0.34012682912538111</v>
      </c>
      <c r="Q36" s="4">
        <v>869.15308889856829</v>
      </c>
      <c r="R36" s="4">
        <v>2285.3241874245682</v>
      </c>
      <c r="S36" s="6">
        <v>0.38031938474254501</v>
      </c>
      <c r="T36" s="4">
        <v>8660.8458685810201</v>
      </c>
      <c r="U36" s="4">
        <v>47454.448561573197</v>
      </c>
      <c r="V36" s="5">
        <v>0.18250861891996031</v>
      </c>
      <c r="W36" s="4">
        <v>1011.384263736</v>
      </c>
      <c r="X36" s="4">
        <v>3096.4058806159992</v>
      </c>
      <c r="Y36" s="5">
        <v>0.32663168290288708</v>
      </c>
      <c r="Z36" s="4">
        <v>873.03440379129654</v>
      </c>
      <c r="AA36" s="4">
        <v>2400.8102796082972</v>
      </c>
      <c r="AB36" s="6">
        <v>0.36364156351985311</v>
      </c>
      <c r="AC36" s="4">
        <f t="shared" ca="1" si="0"/>
        <v>8660.8458685810201</v>
      </c>
      <c r="AD36" s="4">
        <f t="shared" ca="1" si="1"/>
        <v>47454.448561573197</v>
      </c>
      <c r="AE36" s="6">
        <f t="shared" ca="1" si="2"/>
        <v>0.18250861891996029</v>
      </c>
      <c r="AF36" s="4" cm="1">
        <f t="array" aca="1" ref="AF36" ca="1">_xlfn.LET(_xlpm.data,$B36:OFFSET(AF36,0,-4),_xlpm.cols,COLUMN(_xlpm.data)-COLUMN($B36),SUMPRODUCT((MOD(_xlpm.cols,9)=3)*IFERROR(1*_xlpm.data,0)))</f>
        <v>2865.1615716749998</v>
      </c>
      <c r="AG36" s="4" cm="1">
        <f t="array" aca="1" ref="AG36" ca="1">_xlfn.LET(_xlpm.data,$B36:OFFSET(AF36,0,-4),_xlpm.cols,COLUMN(_xlpm.data)-COLUMN($B36),SUMPRODUCT((MOD(_xlpm.cols,9)=4)*IFERROR(1*_xlpm.data,0)))</f>
        <v>7908.3929965749976</v>
      </c>
      <c r="AH36" s="6">
        <f t="shared" ca="1" si="3"/>
        <v>0.36229377737245189</v>
      </c>
      <c r="AI36" s="4" cm="1">
        <f t="array" aca="1" ref="AI36" ca="1">_xlfn.LET(_xlpm.data,$B36:OFFSET(AF36,0,-4),_xlpm.cols,COLUMN(_xlpm.data)-COLUMN($B36),SUMPRODUCT((MOD(_xlpm.cols,9)=6)*IFERROR(1*_xlpm.data,0)))</f>
        <v>2551.0916703914295</v>
      </c>
      <c r="AJ36" s="4" cm="1">
        <f t="array" aca="1" ref="AJ36" ca="1">_xlfn.LET(_xlpm.data,$B36:OFFSET(AF36,0,-4),_xlpm.cols,COLUMN(_xlpm.data)-COLUMN($B36),SUMPRODUCT((MOD(_xlpm.cols,9)=7)*IFERROR(1*_xlpm.data,0)))</f>
        <v>6253.4975973324308</v>
      </c>
      <c r="AK36" s="6">
        <f t="shared" ca="1" si="4"/>
        <v>0.40794637411864598</v>
      </c>
    </row>
    <row r="37" spans="1:37" ht="14.55" customHeight="1" x14ac:dyDescent="0.3">
      <c r="A37" s="3" t="s">
        <v>42</v>
      </c>
      <c r="B37" s="4">
        <v>0</v>
      </c>
      <c r="C37" s="4">
        <v>0</v>
      </c>
      <c r="D37" s="5">
        <v>0</v>
      </c>
      <c r="E37" s="4">
        <v>0</v>
      </c>
      <c r="F37" s="4">
        <v>0</v>
      </c>
      <c r="G37" s="5">
        <v>0</v>
      </c>
      <c r="H37" s="4">
        <v>0</v>
      </c>
      <c r="I37" s="4">
        <v>0</v>
      </c>
      <c r="J37" s="6" t="s">
        <v>11</v>
      </c>
      <c r="K37" s="4">
        <v>0</v>
      </c>
      <c r="L37" s="4">
        <v>0</v>
      </c>
      <c r="M37" s="5">
        <v>0</v>
      </c>
      <c r="N37" s="4">
        <v>0</v>
      </c>
      <c r="O37" s="4">
        <v>0</v>
      </c>
      <c r="P37" s="5">
        <v>0</v>
      </c>
      <c r="Q37" s="4">
        <v>0</v>
      </c>
      <c r="R37" s="4">
        <v>0</v>
      </c>
      <c r="S37" s="6" t="s">
        <v>11</v>
      </c>
      <c r="T37" s="4">
        <v>0</v>
      </c>
      <c r="U37" s="4">
        <v>0</v>
      </c>
      <c r="V37" s="5">
        <v>0</v>
      </c>
      <c r="W37" s="4">
        <v>0</v>
      </c>
      <c r="X37" s="4">
        <v>0</v>
      </c>
      <c r="Y37" s="5">
        <v>0</v>
      </c>
      <c r="Z37" s="4">
        <v>0</v>
      </c>
      <c r="AA37" s="4">
        <v>0</v>
      </c>
      <c r="AB37" s="6" t="s">
        <v>11</v>
      </c>
      <c r="AC37" s="4">
        <f t="shared" ca="1" si="0"/>
        <v>0</v>
      </c>
      <c r="AD37" s="4">
        <f t="shared" ca="1" si="1"/>
        <v>0</v>
      </c>
      <c r="AE37" s="6">
        <f t="shared" ca="1" si="2"/>
        <v>0</v>
      </c>
      <c r="AF37" s="4" cm="1">
        <f t="array" aca="1" ref="AF37" ca="1">_xlfn.LET(_xlpm.data,$B37:OFFSET(AF37,0,-4),_xlpm.cols,COLUMN(_xlpm.data)-COLUMN($B37),SUMPRODUCT((MOD(_xlpm.cols,9)=3)*IFERROR(1*_xlpm.data,0)))</f>
        <v>0</v>
      </c>
      <c r="AG37" s="4" cm="1">
        <f t="array" aca="1" ref="AG37" ca="1">_xlfn.LET(_xlpm.data,$B37:OFFSET(AF37,0,-4),_xlpm.cols,COLUMN(_xlpm.data)-COLUMN($B37),SUMPRODUCT((MOD(_xlpm.cols,9)=4)*IFERROR(1*_xlpm.data,0)))</f>
        <v>0</v>
      </c>
      <c r="AH37" s="6">
        <f t="shared" ca="1" si="3"/>
        <v>0</v>
      </c>
      <c r="AI37" s="4" cm="1">
        <f t="array" aca="1" ref="AI37" ca="1">_xlfn.LET(_xlpm.data,$B37:OFFSET(AF37,0,-4),_xlpm.cols,COLUMN(_xlpm.data)-COLUMN($B37),SUMPRODUCT((MOD(_xlpm.cols,9)=6)*IFERROR(1*_xlpm.data,0)))</f>
        <v>0</v>
      </c>
      <c r="AJ37" s="4" cm="1">
        <f t="array" aca="1" ref="AJ37" ca="1">_xlfn.LET(_xlpm.data,$B37:OFFSET(AF37,0,-4),_xlpm.cols,COLUMN(_xlpm.data)-COLUMN($B37),SUMPRODUCT((MOD(_xlpm.cols,9)=7)*IFERROR(1*_xlpm.data,0)))</f>
        <v>0</v>
      </c>
      <c r="AK37" s="6" t="str">
        <f t="shared" ca="1" si="4"/>
        <v>N.A</v>
      </c>
    </row>
    <row r="38" spans="1:37" ht="14.55" customHeight="1" x14ac:dyDescent="0.3">
      <c r="A38" s="3" t="s">
        <v>43</v>
      </c>
      <c r="B38" s="4">
        <v>41807.708882668478</v>
      </c>
      <c r="C38" s="4">
        <v>408906.06549664668</v>
      </c>
      <c r="D38" s="5">
        <v>0.10224281909804871</v>
      </c>
      <c r="E38" s="4">
        <v>3458.067632754</v>
      </c>
      <c r="F38" s="4">
        <v>23926.236080840968</v>
      </c>
      <c r="G38" s="5">
        <v>0.14453036495460569</v>
      </c>
      <c r="H38" s="4">
        <v>2401.710361413001</v>
      </c>
      <c r="I38" s="4">
        <v>10726.581060313971</v>
      </c>
      <c r="J38" s="6">
        <v>0.2239026906997244</v>
      </c>
      <c r="K38" s="4">
        <v>39399.847295905958</v>
      </c>
      <c r="L38" s="4">
        <v>400877.7487250889</v>
      </c>
      <c r="M38" s="5">
        <v>9.8283946717445045E-2</v>
      </c>
      <c r="N38" s="4">
        <v>3712.2363696259999</v>
      </c>
      <c r="O38" s="4">
        <v>29299.483413087331</v>
      </c>
      <c r="P38" s="5">
        <v>0.1266997208547315</v>
      </c>
      <c r="Q38" s="4">
        <v>-32.037577059212708</v>
      </c>
      <c r="R38" s="4">
        <v>-3.227907769887679</v>
      </c>
      <c r="S38" s="6" t="s">
        <v>11</v>
      </c>
      <c r="T38" s="4">
        <v>39425.848947536157</v>
      </c>
      <c r="U38" s="4">
        <v>402954.29213474289</v>
      </c>
      <c r="V38" s="5">
        <v>9.7841987831097849E-2</v>
      </c>
      <c r="W38" s="4">
        <v>3731.8306524640002</v>
      </c>
      <c r="X38" s="4">
        <v>32715.183070504441</v>
      </c>
      <c r="Y38" s="5">
        <v>0.1140702970978807</v>
      </c>
      <c r="Z38" s="4">
        <v>-192.08482765921269</v>
      </c>
      <c r="AA38" s="4">
        <v>485.85534352422547</v>
      </c>
      <c r="AB38" s="6" t="s">
        <v>11</v>
      </c>
      <c r="AC38" s="4">
        <f t="shared" ca="1" si="0"/>
        <v>39425.848947536157</v>
      </c>
      <c r="AD38" s="4">
        <f t="shared" ca="1" si="1"/>
        <v>402954.29213474289</v>
      </c>
      <c r="AE38" s="6">
        <f t="shared" ca="1" si="2"/>
        <v>9.7841987831097835E-2</v>
      </c>
      <c r="AF38" s="4" cm="1">
        <f t="array" aca="1" ref="AF38" ca="1">_xlfn.LET(_xlpm.data,$B38:OFFSET(AF38,0,-4),_xlpm.cols,COLUMN(_xlpm.data)-COLUMN($B38),SUMPRODUCT((MOD(_xlpm.cols,9)=3)*IFERROR(1*_xlpm.data,0)))</f>
        <v>10902.134654844001</v>
      </c>
      <c r="AG38" s="4" cm="1">
        <f t="array" aca="1" ref="AG38" ca="1">_xlfn.LET(_xlpm.data,$B38:OFFSET(AF38,0,-4),_xlpm.cols,COLUMN(_xlpm.data)-COLUMN($B38),SUMPRODUCT((MOD(_xlpm.cols,9)=4)*IFERROR(1*_xlpm.data,0)))</f>
        <v>85940.902564432734</v>
      </c>
      <c r="AH38" s="6">
        <f t="shared" ca="1" si="3"/>
        <v>0.12685618057909401</v>
      </c>
      <c r="AI38" s="4" cm="1">
        <f t="array" aca="1" ref="AI38" ca="1">_xlfn.LET(_xlpm.data,$B38:OFFSET(AF38,0,-4),_xlpm.cols,COLUMN(_xlpm.data)-COLUMN($B38),SUMPRODUCT((MOD(_xlpm.cols,9)=6)*IFERROR(1*_xlpm.data,0)))</f>
        <v>2177.5879566945755</v>
      </c>
      <c r="AJ38" s="4" cm="1">
        <f t="array" aca="1" ref="AJ38" ca="1">_xlfn.LET(_xlpm.data,$B38:OFFSET(AF38,0,-4),_xlpm.cols,COLUMN(_xlpm.data)-COLUMN($B38),SUMPRODUCT((MOD(_xlpm.cols,9)=7)*IFERROR(1*_xlpm.data,0)))</f>
        <v>11209.208496068308</v>
      </c>
      <c r="AK38" s="6">
        <f t="shared" ca="1" si="4"/>
        <v>0.19426777166812237</v>
      </c>
    </row>
    <row r="39" spans="1:37" ht="14.55" customHeight="1" x14ac:dyDescent="0.3">
      <c r="A39" s="3" t="s">
        <v>44</v>
      </c>
      <c r="B39" s="4">
        <v>67610.438594247709</v>
      </c>
      <c r="C39" s="4">
        <v>541866.18400099408</v>
      </c>
      <c r="D39" s="5">
        <v>0.1247733122872338</v>
      </c>
      <c r="E39" s="4">
        <v>14430.593477802</v>
      </c>
      <c r="F39" s="4">
        <v>149706.84972544431</v>
      </c>
      <c r="G39" s="5">
        <v>9.6392339457192958E-2</v>
      </c>
      <c r="H39" s="4">
        <v>4657.041439611</v>
      </c>
      <c r="I39" s="4">
        <v>39874.211319355287</v>
      </c>
      <c r="J39" s="6">
        <v>0.11679331792452111</v>
      </c>
      <c r="K39" s="4">
        <v>61139.974626987503</v>
      </c>
      <c r="L39" s="4">
        <v>507111.23347121599</v>
      </c>
      <c r="M39" s="5">
        <v>0.1205652144766733</v>
      </c>
      <c r="N39" s="4">
        <v>20161.541016152001</v>
      </c>
      <c r="O39" s="4">
        <v>209496.85140171679</v>
      </c>
      <c r="P39" s="5">
        <v>9.6237919000947678E-2</v>
      </c>
      <c r="Q39" s="4">
        <v>-1904.4654113480101</v>
      </c>
      <c r="R39" s="4">
        <v>4254.3352235091297</v>
      </c>
      <c r="S39" s="6" t="s">
        <v>11</v>
      </c>
      <c r="T39" s="4">
        <v>57696.216996109099</v>
      </c>
      <c r="U39" s="4">
        <v>496946.49704769801</v>
      </c>
      <c r="V39" s="5">
        <v>0.1161014663326449</v>
      </c>
      <c r="W39" s="4">
        <v>21278.522819508999</v>
      </c>
      <c r="X39" s="4">
        <v>229588.8473276821</v>
      </c>
      <c r="Y39" s="5">
        <v>9.2680995036048472E-2</v>
      </c>
      <c r="Z39" s="4">
        <v>-5521.4018116470097</v>
      </c>
      <c r="AA39" s="4">
        <v>-7735.6315982276028</v>
      </c>
      <c r="AB39" s="6" t="s">
        <v>11</v>
      </c>
      <c r="AC39" s="4">
        <f t="shared" ca="1" si="0"/>
        <v>57696.216996109099</v>
      </c>
      <c r="AD39" s="4">
        <f t="shared" ca="1" si="1"/>
        <v>496946.49704769801</v>
      </c>
      <c r="AE39" s="6">
        <f t="shared" ca="1" si="2"/>
        <v>0.11610146633264484</v>
      </c>
      <c r="AF39" s="4" cm="1">
        <f t="array" aca="1" ref="AF39" ca="1">_xlfn.LET(_xlpm.data,$B39:OFFSET(AF39,0,-4),_xlpm.cols,COLUMN(_xlpm.data)-COLUMN($B39),SUMPRODUCT((MOD(_xlpm.cols,9)=3)*IFERROR(1*_xlpm.data,0)))</f>
        <v>55870.657313463002</v>
      </c>
      <c r="AG39" s="4" cm="1">
        <f t="array" aca="1" ref="AG39" ca="1">_xlfn.LET(_xlpm.data,$B39:OFFSET(AF39,0,-4),_xlpm.cols,COLUMN(_xlpm.data)-COLUMN($B39),SUMPRODUCT((MOD(_xlpm.cols,9)=4)*IFERROR(1*_xlpm.data,0)))</f>
        <v>588792.54845484323</v>
      </c>
      <c r="AH39" s="6">
        <f t="shared" ca="1" si="3"/>
        <v>9.4890224850982363E-2</v>
      </c>
      <c r="AI39" s="4" cm="1">
        <f t="array" aca="1" ref="AI39" ca="1">_xlfn.LET(_xlpm.data,$B39:OFFSET(AF39,0,-4),_xlpm.cols,COLUMN(_xlpm.data)-COLUMN($B39),SUMPRODUCT((MOD(_xlpm.cols,9)=6)*IFERROR(1*_xlpm.data,0)))</f>
        <v>-2768.8257833840198</v>
      </c>
      <c r="AJ39" s="4" cm="1">
        <f t="array" aca="1" ref="AJ39" ca="1">_xlfn.LET(_xlpm.data,$B39:OFFSET(AF39,0,-4),_xlpm.cols,COLUMN(_xlpm.data)-COLUMN($B39),SUMPRODUCT((MOD(_xlpm.cols,9)=7)*IFERROR(1*_xlpm.data,0)))</f>
        <v>36392.91494463681</v>
      </c>
      <c r="AK39" s="6" t="str">
        <f t="shared" ca="1" si="4"/>
        <v>N.A</v>
      </c>
    </row>
    <row r="40" spans="1:37" ht="14.55" customHeight="1" x14ac:dyDescent="0.3">
      <c r="A40" s="23" t="s">
        <v>45</v>
      </c>
      <c r="B40" s="24">
        <v>231434.98447272711</v>
      </c>
      <c r="C40" s="24">
        <v>2368294.5077052009</v>
      </c>
      <c r="D40" s="25">
        <v>9.7722214749794756E-2</v>
      </c>
      <c r="E40" s="24">
        <v>108244.82570106001</v>
      </c>
      <c r="F40" s="24">
        <v>1152656.3463636111</v>
      </c>
      <c r="G40" s="25">
        <v>9.3909018106350398E-2</v>
      </c>
      <c r="H40" s="24">
        <v>18420.98576682671</v>
      </c>
      <c r="I40" s="24">
        <v>204081.68988829831</v>
      </c>
      <c r="J40" s="26">
        <v>9.026280494300698E-2</v>
      </c>
      <c r="K40" s="24">
        <v>221244.25297042311</v>
      </c>
      <c r="L40" s="24">
        <v>2327814.9272373691</v>
      </c>
      <c r="M40" s="25">
        <v>9.5043746984213182E-2</v>
      </c>
      <c r="N40" s="24">
        <v>179163.282469375</v>
      </c>
      <c r="O40" s="24">
        <v>2071742.054035713</v>
      </c>
      <c r="P40" s="25">
        <v>8.6479531619473762E-2</v>
      </c>
      <c r="Q40" s="24">
        <v>5792.8914443611557</v>
      </c>
      <c r="R40" s="24">
        <v>142120.97906475159</v>
      </c>
      <c r="S40" s="26">
        <v>4.0760283826372028E-2</v>
      </c>
      <c r="T40" s="24">
        <v>222226.88952230511</v>
      </c>
      <c r="U40" s="24">
        <v>2366923.9857851318</v>
      </c>
      <c r="V40" s="25">
        <v>9.3888477558602412E-2</v>
      </c>
      <c r="W40" s="24">
        <v>196692.83608671901</v>
      </c>
      <c r="X40" s="24">
        <v>2292536.9416986019</v>
      </c>
      <c r="Y40" s="25">
        <v>8.5797019236245761E-2</v>
      </c>
      <c r="Z40" s="24">
        <v>4260.5175364560209</v>
      </c>
      <c r="AA40" s="24">
        <v>150265.31685160581</v>
      </c>
      <c r="AB40" s="26">
        <v>2.8353299521961452E-2</v>
      </c>
      <c r="AC40" s="24">
        <f t="shared" ca="1" si="0"/>
        <v>222226.88952230511</v>
      </c>
      <c r="AD40" s="24">
        <f t="shared" ca="1" si="1"/>
        <v>2366923.9857851318</v>
      </c>
      <c r="AE40" s="26">
        <f t="shared" ca="1" si="2"/>
        <v>9.3888477558602412E-2</v>
      </c>
      <c r="AF40" s="24" cm="1">
        <f t="array" aca="1" ref="AF40" ca="1">_xlfn.LET(_xlpm.data,$B40:OFFSET(AF40,0,-4),_xlpm.cols,COLUMN(_xlpm.data)-COLUMN($B40),SUMPRODUCT((MOD(_xlpm.cols,9)=3)*IFERROR(1*_xlpm.data,0)))</f>
        <v>484100.94425715401</v>
      </c>
      <c r="AG40" s="24" cm="1">
        <f t="array" aca="1" ref="AG40" ca="1">_xlfn.LET(_xlpm.data,$B40:OFFSET(AF40,0,-4),_xlpm.cols,COLUMN(_xlpm.data)-COLUMN($B40),SUMPRODUCT((MOD(_xlpm.cols,9)=4)*IFERROR(1*_xlpm.data,0)))</f>
        <v>5516935.342097926</v>
      </c>
      <c r="AH40" s="26">
        <f t="shared" ca="1" si="3"/>
        <v>8.7748163470965174E-2</v>
      </c>
      <c r="AI40" s="24" cm="1">
        <f t="array" aca="1" ref="AI40" ca="1">_xlfn.LET(_xlpm.data,$B40:OFFSET(AF40,0,-4),_xlpm.cols,COLUMN(_xlpm.data)-COLUMN($B40),SUMPRODUCT((MOD(_xlpm.cols,9)=6)*IFERROR(1*_xlpm.data,0)))</f>
        <v>28474.394747643884</v>
      </c>
      <c r="AJ40" s="24" cm="1">
        <f t="array" aca="1" ref="AJ40" ca="1">_xlfn.LET(_xlpm.data,$B40:OFFSET(AF40,0,-4),_xlpm.cols,COLUMN(_xlpm.data)-COLUMN($B40),SUMPRODUCT((MOD(_xlpm.cols,9)=7)*IFERROR(1*_xlpm.data,0)))</f>
        <v>496467.98580465571</v>
      </c>
      <c r="AK40" s="26">
        <f t="shared" ca="1" si="4"/>
        <v>5.7353939351182354E-2</v>
      </c>
    </row>
    <row r="41" spans="1:37" ht="14.55" customHeight="1" x14ac:dyDescent="0.3">
      <c r="A41" s="27" t="s">
        <v>46</v>
      </c>
      <c r="B41" s="28">
        <v>611562.78944247821</v>
      </c>
      <c r="C41" s="28">
        <v>7278152.6116042007</v>
      </c>
      <c r="D41" s="29">
        <v>8.4027200593102397E-2</v>
      </c>
      <c r="E41" s="28">
        <v>120487.09823227199</v>
      </c>
      <c r="F41" s="28">
        <v>1273795.3813989719</v>
      </c>
      <c r="G41" s="29">
        <v>9.4589052521092148E-2</v>
      </c>
      <c r="H41" s="28">
        <v>24715.5538277876</v>
      </c>
      <c r="I41" s="28">
        <v>269587.36625813058</v>
      </c>
      <c r="J41" s="30">
        <v>9.1679199106542694E-2</v>
      </c>
      <c r="K41" s="28">
        <v>605576.40327354602</v>
      </c>
      <c r="L41" s="28">
        <v>7280013.4655340901</v>
      </c>
      <c r="M41" s="29">
        <v>8.3183418017087229E-2</v>
      </c>
      <c r="N41" s="28">
        <v>201928.49441327201</v>
      </c>
      <c r="O41" s="28">
        <v>2285775.3105822071</v>
      </c>
      <c r="P41" s="29">
        <v>8.8341357734693135E-2</v>
      </c>
      <c r="Q41" s="28">
        <v>15874.67860745452</v>
      </c>
      <c r="R41" s="28">
        <v>241343.39839949179</v>
      </c>
      <c r="S41" s="30">
        <v>6.5776311731458356E-2</v>
      </c>
      <c r="T41" s="28">
        <v>606454.12646710849</v>
      </c>
      <c r="U41" s="28">
        <v>7300580.9607526846</v>
      </c>
      <c r="V41" s="29">
        <v>8.3069296776154586E-2</v>
      </c>
      <c r="W41" s="28">
        <v>222160.606389361</v>
      </c>
      <c r="X41" s="28">
        <v>2537396.1491277041</v>
      </c>
      <c r="Y41" s="29">
        <v>8.7554561184990568E-2</v>
      </c>
      <c r="Z41" s="28">
        <v>15025.749688391719</v>
      </c>
      <c r="AA41" s="28">
        <v>266379.68724981049</v>
      </c>
      <c r="AB41" s="30">
        <v>5.6407265296848981E-2</v>
      </c>
      <c r="AC41" s="28">
        <f t="shared" ca="1" si="0"/>
        <v>606454.12646710849</v>
      </c>
      <c r="AD41" s="28">
        <f t="shared" ca="1" si="1"/>
        <v>7300580.9607526846</v>
      </c>
      <c r="AE41" s="30">
        <f t="shared" ca="1" si="2"/>
        <v>8.3069296776154586E-2</v>
      </c>
      <c r="AF41" s="28" cm="1">
        <f t="array" aca="1" ref="AF41" ca="1">_xlfn.LET(_xlpm.data,$B41:OFFSET(AF41,0,-4),_xlpm.cols,COLUMN(_xlpm.data)-COLUMN($B41),SUMPRODUCT((MOD(_xlpm.cols,9)=3)*IFERROR(1*_xlpm.data,0)))</f>
        <v>544576.19903490494</v>
      </c>
      <c r="AG41" s="28" cm="1">
        <f t="array" aca="1" ref="AG41" ca="1">_xlfn.LET(_xlpm.data,$B41:OFFSET(AF41,0,-4),_xlpm.cols,COLUMN(_xlpm.data)-COLUMN($B41),SUMPRODUCT((MOD(_xlpm.cols,9)=4)*IFERROR(1*_xlpm.data,0)))</f>
        <v>6096966.8411088828</v>
      </c>
      <c r="AH41" s="30">
        <f t="shared" ca="1" si="3"/>
        <v>8.9319199731101112E-2</v>
      </c>
      <c r="AI41" s="28" cm="1">
        <f t="array" aca="1" ref="AI41" ca="1">_xlfn.LET(_xlpm.data,$B41:OFFSET(AF41,0,-4),_xlpm.cols,COLUMN(_xlpm.data)-COLUMN($B41),SUMPRODUCT((MOD(_xlpm.cols,9)=6)*IFERROR(1*_xlpm.data,0)))</f>
        <v>55615.982123633839</v>
      </c>
      <c r="AJ41" s="28" cm="1">
        <f t="array" aca="1" ref="AJ41" ca="1">_xlfn.LET(_xlpm.data,$B41:OFFSET(AF41,0,-4),_xlpm.cols,COLUMN(_xlpm.data)-COLUMN($B41),SUMPRODUCT((MOD(_xlpm.cols,9)=7)*IFERROR(1*_xlpm.data,0)))</f>
        <v>777310.45190743287</v>
      </c>
      <c r="AK41" s="30">
        <f t="shared" ca="1" si="4"/>
        <v>7.1549252923537102E-2</v>
      </c>
    </row>
  </sheetData>
  <mergeCells count="16">
    <mergeCell ref="AC1:AK1"/>
    <mergeCell ref="AC2:AE2"/>
    <mergeCell ref="AF2:AH2"/>
    <mergeCell ref="AI2:AK2"/>
    <mergeCell ref="K1:S1"/>
    <mergeCell ref="T1:AB1"/>
    <mergeCell ref="Z2:AB2"/>
    <mergeCell ref="B1:J1"/>
    <mergeCell ref="H2:J2"/>
    <mergeCell ref="B2:D2"/>
    <mergeCell ref="Q2:S2"/>
    <mergeCell ref="W2:Y2"/>
    <mergeCell ref="T2:V2"/>
    <mergeCell ref="E2:G2"/>
    <mergeCell ref="K2:M2"/>
    <mergeCell ref="N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MoM-YTD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Viraj Choudhary</cp:lastModifiedBy>
  <dcterms:created xsi:type="dcterms:W3CDTF">2026-06-10T08:26:21Z</dcterms:created>
  <dcterms:modified xsi:type="dcterms:W3CDTF">2026-06-10T09:23:27Z</dcterms:modified>
</cp:coreProperties>
</file>